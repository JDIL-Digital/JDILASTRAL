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jindal pioneer\budget\BUDGET\"/>
    </mc:Choice>
  </mc:AlternateContent>
  <bookViews>
    <workbookView xWindow="0" yWindow="0" windowWidth="19200" windowHeight="6350" tabRatio="714" firstSheet="1" activeTab="1"/>
  </bookViews>
  <sheets>
    <sheet name="Sheet1" sheetId="14" r:id="rId1"/>
    <sheet name="Dashboard" sheetId="15" r:id="rId2"/>
    <sheet name="Summary" sheetId="12" r:id="rId3"/>
    <sheet name="Ann I" sheetId="1" r:id="rId4"/>
    <sheet name="Ann II" sheetId="2" r:id="rId5"/>
    <sheet name="Ann III" sheetId="3" r:id="rId6"/>
    <sheet name="Ann IV" sheetId="4" r:id="rId7"/>
    <sheet name="Ann V" sheetId="5" r:id="rId8"/>
    <sheet name="Ann VI-Drill" sheetId="6" r:id="rId9"/>
    <sheet name="Ann VII-Mech" sheetId="7" r:id="rId10"/>
    <sheet name="Ann VIII-Elec" sheetId="8" r:id="rId11"/>
    <sheet name="Ann IX-Marine" sheetId="9" r:id="rId12"/>
    <sheet name="Ann X-Contractual Req" sheetId="10" r:id="rId13"/>
    <sheet name="Ann XI-Missing items Saipem" sheetId="13" r:id="rId14"/>
  </sheets>
  <externalReferences>
    <externalReference r:id="rId15"/>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6" i="3" l="1"/>
  <c r="E9" i="5"/>
  <c r="E10" i="5"/>
  <c r="E8" i="5"/>
  <c r="K16" i="3" l="1"/>
  <c r="H51" i="9"/>
  <c r="H14" i="8"/>
  <c r="E7" i="4"/>
  <c r="E7" i="5"/>
  <c r="K10" i="7" l="1"/>
  <c r="K7" i="6"/>
  <c r="K16" i="6"/>
  <c r="G4" i="13"/>
  <c r="K15" i="6"/>
  <c r="K4" i="7"/>
  <c r="K50" i="6"/>
  <c r="K9" i="7"/>
  <c r="G22" i="10" l="1"/>
  <c r="J59" i="9"/>
  <c r="J15" i="3"/>
  <c r="F3" i="13"/>
  <c r="H22" i="6"/>
  <c r="H36" i="8"/>
  <c r="H59" i="9"/>
  <c r="I15" i="9"/>
  <c r="H48" i="9"/>
  <c r="H11" i="8"/>
  <c r="H58" i="9"/>
  <c r="H32" i="8"/>
  <c r="H9" i="7"/>
  <c r="E27" i="10"/>
  <c r="H56" i="9"/>
  <c r="C14" i="12" l="1"/>
  <c r="I29" i="6" l="1"/>
  <c r="I56" i="9"/>
  <c r="H44" i="9"/>
  <c r="H5" i="8"/>
  <c r="H39" i="8"/>
  <c r="H3" i="13"/>
  <c r="H36" i="6"/>
  <c r="H4" i="6"/>
  <c r="C20" i="13" l="1"/>
  <c r="J29" i="9" l="1"/>
  <c r="K30" i="6" l="1"/>
  <c r="K14" i="8"/>
  <c r="K21" i="6"/>
  <c r="K16" i="8"/>
  <c r="K15" i="8"/>
  <c r="K33" i="6"/>
  <c r="K56" i="6"/>
  <c r="K36" i="6"/>
  <c r="H4" i="13" l="1"/>
  <c r="H20" i="13" s="1"/>
  <c r="H5" i="13"/>
  <c r="H6" i="13"/>
  <c r="H7" i="13"/>
  <c r="H8" i="13"/>
  <c r="H9" i="13"/>
  <c r="H10" i="13"/>
  <c r="H11" i="13"/>
  <c r="H12" i="13"/>
  <c r="H13" i="13"/>
  <c r="H14" i="13"/>
  <c r="H15" i="13"/>
  <c r="H16" i="13"/>
  <c r="H17" i="13"/>
  <c r="H18" i="13"/>
  <c r="H19" i="13"/>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3" i="10"/>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4" i="9"/>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 i="8"/>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4" i="7"/>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4" i="6"/>
  <c r="I8" i="2"/>
  <c r="I9" i="2"/>
  <c r="I7" i="2"/>
  <c r="H4" i="8" l="1"/>
  <c r="H57" i="9"/>
  <c r="H4" i="9" l="1"/>
  <c r="H15" i="9"/>
  <c r="H30" i="9"/>
  <c r="H36" i="9"/>
  <c r="H29" i="9"/>
  <c r="I59" i="9"/>
  <c r="I31" i="6"/>
  <c r="K31" i="6"/>
  <c r="H56" i="6"/>
  <c r="H54" i="9"/>
  <c r="H60" i="6"/>
  <c r="H30" i="7"/>
  <c r="I43" i="9" l="1"/>
  <c r="J14" i="3"/>
  <c r="H25" i="7"/>
  <c r="H22" i="7"/>
  <c r="I5" i="7"/>
  <c r="K10" i="6" l="1"/>
  <c r="K18" i="6"/>
  <c r="K32" i="8"/>
  <c r="K4" i="6"/>
  <c r="K58" i="9"/>
  <c r="G10" i="13"/>
  <c r="D44" i="14" l="1"/>
  <c r="D51" i="14"/>
  <c r="D50" i="14"/>
  <c r="D47" i="14"/>
  <c r="D46" i="14"/>
  <c r="D45" i="14"/>
  <c r="D43" i="14"/>
  <c r="D42" i="14"/>
  <c r="D41" i="14"/>
  <c r="B10" i="14" l="1"/>
  <c r="B2" i="14"/>
  <c r="B3" i="14"/>
  <c r="C2" i="14"/>
  <c r="B11" i="14"/>
  <c r="B9" i="14"/>
  <c r="B8" i="14"/>
  <c r="B7" i="14"/>
  <c r="B6" i="14"/>
  <c r="B5" i="14"/>
  <c r="D2" i="14" l="1"/>
  <c r="I49" i="10" l="1"/>
  <c r="M62" i="6"/>
  <c r="N15" i="3" l="1"/>
  <c r="N16" i="3"/>
  <c r="N14" i="3"/>
  <c r="N7" i="3"/>
  <c r="N8" i="3"/>
  <c r="N9" i="3"/>
  <c r="N10" i="3"/>
  <c r="N6" i="3"/>
  <c r="D48" i="14" l="1"/>
  <c r="D49" i="14"/>
  <c r="D52" i="14" l="1"/>
  <c r="G29" i="10"/>
  <c r="G19" i="10"/>
  <c r="J4" i="8"/>
  <c r="L8" i="3"/>
  <c r="C15" i="12"/>
  <c r="C38" i="12" l="1"/>
  <c r="B4" i="14"/>
  <c r="C21" i="14" s="1"/>
  <c r="K9" i="6"/>
  <c r="H32" i="7" l="1"/>
  <c r="I36" i="9"/>
  <c r="H35" i="8"/>
  <c r="H31" i="6"/>
  <c r="I29" i="9"/>
  <c r="I22" i="6"/>
  <c r="H23" i="8"/>
  <c r="K14" i="6" l="1"/>
  <c r="K17" i="6"/>
  <c r="H22" i="10"/>
  <c r="O30" i="9"/>
  <c r="O23" i="8"/>
  <c r="O36" i="8"/>
  <c r="H55" i="9"/>
  <c r="O39" i="8"/>
  <c r="F9" i="12"/>
  <c r="F8" i="12"/>
  <c r="F7" i="12"/>
  <c r="F23" i="1"/>
  <c r="F15" i="1"/>
  <c r="F16" i="1"/>
  <c r="F17" i="1"/>
  <c r="F18" i="1"/>
  <c r="F19" i="1"/>
  <c r="F20" i="1"/>
  <c r="F21" i="1"/>
  <c r="F22" i="1"/>
  <c r="F14" i="1"/>
  <c r="F12" i="1"/>
  <c r="F9" i="1"/>
  <c r="F10" i="1"/>
  <c r="F11" i="1"/>
  <c r="F8" i="1"/>
  <c r="E37" i="12"/>
  <c r="C12" i="14" s="1"/>
  <c r="E12" i="5"/>
  <c r="E20" i="12" s="1"/>
  <c r="E8" i="12"/>
  <c r="E7" i="12"/>
  <c r="E9" i="12" s="1"/>
  <c r="E23" i="1"/>
  <c r="E12" i="1"/>
  <c r="I10" i="2"/>
  <c r="E11" i="12" s="1"/>
  <c r="E10" i="4"/>
  <c r="E18" i="12" s="1"/>
  <c r="C5" i="14" s="1"/>
  <c r="D5" i="14" s="1"/>
  <c r="I20" i="13"/>
  <c r="F37" i="12" s="1"/>
  <c r="I4" i="13"/>
  <c r="I5" i="13"/>
  <c r="I6" i="13"/>
  <c r="I7" i="13"/>
  <c r="I8" i="13"/>
  <c r="I9" i="13"/>
  <c r="I10" i="13"/>
  <c r="I11" i="13"/>
  <c r="I12" i="13"/>
  <c r="I13" i="13"/>
  <c r="I14" i="13"/>
  <c r="I15" i="13"/>
  <c r="I16" i="13"/>
  <c r="I17" i="13"/>
  <c r="I18" i="13"/>
  <c r="I19" i="13"/>
  <c r="I3" i="13"/>
  <c r="K17" i="10"/>
  <c r="K21" i="10"/>
  <c r="K24" i="10"/>
  <c r="K33" i="10"/>
  <c r="K34" i="10"/>
  <c r="K35" i="10"/>
  <c r="K36" i="10"/>
  <c r="K48" i="10"/>
  <c r="K3" i="10"/>
  <c r="O8" i="9"/>
  <c r="O9" i="9"/>
  <c r="O10" i="9"/>
  <c r="O11" i="9"/>
  <c r="O12" i="9"/>
  <c r="O13" i="9"/>
  <c r="O14" i="9"/>
  <c r="O22" i="9"/>
  <c r="O23" i="9"/>
  <c r="O24" i="9"/>
  <c r="O26" i="9"/>
  <c r="O50" i="9"/>
  <c r="O60" i="9"/>
  <c r="O62" i="9"/>
  <c r="O5" i="8"/>
  <c r="O6" i="8"/>
  <c r="O7" i="8"/>
  <c r="O8" i="8"/>
  <c r="O9" i="8"/>
  <c r="O10" i="8"/>
  <c r="O11" i="8"/>
  <c r="O12" i="8"/>
  <c r="O13" i="8"/>
  <c r="O15" i="8"/>
  <c r="O16" i="8"/>
  <c r="O17" i="8"/>
  <c r="O18" i="8"/>
  <c r="O20" i="8"/>
  <c r="O21" i="8"/>
  <c r="O22" i="8"/>
  <c r="O24" i="8"/>
  <c r="O25" i="8"/>
  <c r="O26" i="8"/>
  <c r="O27" i="8"/>
  <c r="O28" i="8"/>
  <c r="O29" i="8"/>
  <c r="O30" i="8"/>
  <c r="O31" i="8"/>
  <c r="O33" i="8"/>
  <c r="O34" i="8"/>
  <c r="O37" i="8"/>
  <c r="O38" i="8"/>
  <c r="O40" i="8"/>
  <c r="N6" i="7"/>
  <c r="N7" i="7"/>
  <c r="N8" i="7"/>
  <c r="N9" i="7"/>
  <c r="N10" i="7"/>
  <c r="N11" i="7"/>
  <c r="N12" i="7"/>
  <c r="N14" i="7"/>
  <c r="N15" i="7"/>
  <c r="N16" i="7"/>
  <c r="N17" i="7"/>
  <c r="N18" i="7"/>
  <c r="N19" i="7"/>
  <c r="N20" i="7"/>
  <c r="N21" i="7"/>
  <c r="N23" i="7"/>
  <c r="N24" i="7"/>
  <c r="N26" i="7"/>
  <c r="N27" i="7"/>
  <c r="N28" i="7"/>
  <c r="N29" i="7"/>
  <c r="O5" i="6"/>
  <c r="O6" i="6"/>
  <c r="O7" i="6"/>
  <c r="O8" i="6"/>
  <c r="O9" i="6"/>
  <c r="O10" i="6"/>
  <c r="O11" i="6"/>
  <c r="O12" i="6"/>
  <c r="O13" i="6"/>
  <c r="O15" i="6"/>
  <c r="O16" i="6"/>
  <c r="O17" i="6"/>
  <c r="O20" i="6"/>
  <c r="O21" i="6"/>
  <c r="O23" i="6"/>
  <c r="O24" i="6"/>
  <c r="O25" i="6"/>
  <c r="O26" i="6"/>
  <c r="O27" i="6"/>
  <c r="O28" i="6"/>
  <c r="O29" i="6"/>
  <c r="O30" i="6"/>
  <c r="O31" i="6"/>
  <c r="O34" i="6"/>
  <c r="O35" i="6"/>
  <c r="O36" i="6"/>
  <c r="O38" i="6"/>
  <c r="O39" i="6"/>
  <c r="O40" i="6"/>
  <c r="O41" i="6"/>
  <c r="O42" i="6"/>
  <c r="O43" i="6"/>
  <c r="O44" i="6"/>
  <c r="O45" i="6"/>
  <c r="O46" i="6"/>
  <c r="O47" i="6"/>
  <c r="O48" i="6"/>
  <c r="O49" i="6"/>
  <c r="O50" i="6"/>
  <c r="O51" i="6"/>
  <c r="O52" i="6"/>
  <c r="O53" i="6"/>
  <c r="O54" i="6"/>
  <c r="O55" i="6"/>
  <c r="O56" i="6"/>
  <c r="O57" i="6"/>
  <c r="O59" i="6"/>
  <c r="O60" i="6"/>
  <c r="O61" i="6"/>
  <c r="O4" i="6"/>
  <c r="F8" i="5"/>
  <c r="F9" i="5"/>
  <c r="F10" i="5"/>
  <c r="F7" i="5"/>
  <c r="F8" i="4"/>
  <c r="F7" i="4"/>
  <c r="O14" i="3"/>
  <c r="J8" i="2"/>
  <c r="J9" i="2"/>
  <c r="J7" i="2"/>
  <c r="O14" i="6"/>
  <c r="O18" i="6"/>
  <c r="O19" i="6"/>
  <c r="O22" i="6"/>
  <c r="O32" i="6"/>
  <c r="O33" i="6"/>
  <c r="O37" i="6"/>
  <c r="O58" i="6"/>
  <c r="N5" i="7"/>
  <c r="N13" i="7"/>
  <c r="N22" i="7"/>
  <c r="N25" i="7"/>
  <c r="N30" i="7"/>
  <c r="N31" i="7"/>
  <c r="N32" i="7"/>
  <c r="N4" i="7"/>
  <c r="O14" i="8"/>
  <c r="O19" i="8"/>
  <c r="O32" i="8"/>
  <c r="O35" i="8"/>
  <c r="O4" i="8"/>
  <c r="O6" i="9"/>
  <c r="O7" i="9"/>
  <c r="O15" i="9"/>
  <c r="O21" i="9"/>
  <c r="O27" i="9"/>
  <c r="O29" i="9"/>
  <c r="O31" i="9"/>
  <c r="O36" i="9"/>
  <c r="O37" i="9"/>
  <c r="O38" i="9"/>
  <c r="O39" i="9"/>
  <c r="O41" i="9"/>
  <c r="O42" i="9"/>
  <c r="O43" i="9"/>
  <c r="O44" i="9"/>
  <c r="O45" i="9"/>
  <c r="O48" i="9"/>
  <c r="O49" i="9"/>
  <c r="O51" i="9"/>
  <c r="O53" i="9"/>
  <c r="O54" i="9"/>
  <c r="O56" i="9"/>
  <c r="O57" i="9"/>
  <c r="O58" i="9"/>
  <c r="O59" i="9"/>
  <c r="O61" i="9"/>
  <c r="O63" i="9"/>
  <c r="O64" i="9"/>
  <c r="O65" i="9"/>
  <c r="O5" i="9"/>
  <c r="O4" i="9"/>
  <c r="K4" i="10"/>
  <c r="K5" i="10"/>
  <c r="K6" i="10"/>
  <c r="K7" i="10"/>
  <c r="K8" i="10"/>
  <c r="K9" i="10"/>
  <c r="K10" i="10"/>
  <c r="K11" i="10"/>
  <c r="K12" i="10"/>
  <c r="K13" i="10"/>
  <c r="K14" i="10"/>
  <c r="K15" i="10"/>
  <c r="K16" i="10"/>
  <c r="K18" i="10"/>
  <c r="K19" i="10"/>
  <c r="K20" i="10"/>
  <c r="K25" i="10"/>
  <c r="K27" i="10"/>
  <c r="K29" i="10"/>
  <c r="K30" i="10"/>
  <c r="K31" i="10"/>
  <c r="K32" i="10"/>
  <c r="K40" i="10"/>
  <c r="K42" i="10"/>
  <c r="K43" i="10"/>
  <c r="K44" i="10"/>
  <c r="K45" i="10"/>
  <c r="K46" i="10"/>
  <c r="K47" i="10"/>
  <c r="F10" i="4" l="1"/>
  <c r="E17" i="12"/>
  <c r="E12" i="12"/>
  <c r="C3" i="14" s="1"/>
  <c r="D3" i="14" s="1"/>
  <c r="J10" i="2"/>
  <c r="F12" i="5"/>
  <c r="E21" i="12"/>
  <c r="C6" i="14" s="1"/>
  <c r="D6" i="14" s="1"/>
  <c r="M33" i="7"/>
  <c r="E27" i="12" s="1"/>
  <c r="C8" i="14" s="1"/>
  <c r="D8" i="14" s="1"/>
  <c r="K41" i="10"/>
  <c r="N41" i="8"/>
  <c r="E30" i="12" s="1"/>
  <c r="N62" i="6"/>
  <c r="F17" i="12" l="1"/>
  <c r="F18" i="12"/>
  <c r="F11" i="12"/>
  <c r="F12" i="12"/>
  <c r="F21" i="12"/>
  <c r="F20" i="12"/>
  <c r="E26" i="12"/>
  <c r="N33" i="7"/>
  <c r="F27" i="12" s="1"/>
  <c r="E29" i="12"/>
  <c r="O41" i="8"/>
  <c r="E24" i="12"/>
  <c r="C7" i="14" s="1"/>
  <c r="D7" i="14" s="1"/>
  <c r="E23" i="12"/>
  <c r="O62" i="6"/>
  <c r="F26" i="12" l="1"/>
  <c r="C9" i="14"/>
  <c r="F29" i="12"/>
  <c r="F30" i="12"/>
  <c r="F23" i="12"/>
  <c r="F24" i="12"/>
  <c r="D9" i="14" l="1"/>
  <c r="O6" i="3"/>
  <c r="O7" i="3"/>
  <c r="O8" i="3"/>
  <c r="O10" i="3"/>
  <c r="O15" i="3"/>
  <c r="L25" i="9"/>
  <c r="O25" i="9" s="1"/>
  <c r="O9" i="3" l="1"/>
  <c r="N11" i="3"/>
  <c r="O11" i="3" s="1"/>
  <c r="N17" i="3"/>
  <c r="O16" i="3"/>
  <c r="J40" i="9"/>
  <c r="O40" i="9" s="1"/>
  <c r="D19" i="13"/>
  <c r="D15" i="13"/>
  <c r="D18" i="13"/>
  <c r="D17" i="13"/>
  <c r="G28" i="10"/>
  <c r="K28" i="10" s="1"/>
  <c r="N18" i="3" l="1"/>
  <c r="O17" i="3"/>
  <c r="O18" i="3" s="1"/>
  <c r="F15" i="12" l="1"/>
  <c r="F14" i="12"/>
  <c r="E15" i="12"/>
  <c r="C4" i="14" s="1"/>
  <c r="D4" i="14" s="1"/>
  <c r="E14" i="12"/>
  <c r="H26" i="10"/>
  <c r="K26" i="10" s="1"/>
  <c r="K28" i="7" l="1"/>
  <c r="F22" i="10"/>
  <c r="J49" i="10" l="1"/>
  <c r="E35" i="12" s="1"/>
  <c r="C11" i="14" s="1"/>
  <c r="D11" i="14" s="1"/>
  <c r="O55" i="9" l="1"/>
  <c r="N66" i="9"/>
  <c r="D16" i="13"/>
  <c r="E33" i="12" l="1"/>
  <c r="E38" i="12" s="1"/>
  <c r="O66" i="9"/>
  <c r="E32" i="12"/>
  <c r="C10" i="14" l="1"/>
  <c r="D21" i="14" s="1"/>
  <c r="E40" i="12"/>
  <c r="F32" i="12"/>
  <c r="F33" i="12"/>
  <c r="C11" i="1"/>
  <c r="C15" i="1"/>
  <c r="D13" i="13"/>
  <c r="D10" i="14" l="1"/>
  <c r="E21" i="14"/>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4" i="9"/>
  <c r="G27" i="6"/>
  <c r="C9" i="13"/>
  <c r="D20" i="13" s="1"/>
  <c r="D14" i="13"/>
  <c r="D12" i="13"/>
  <c r="D11" i="13"/>
  <c r="D10" i="13"/>
  <c r="D9" i="13"/>
  <c r="D8" i="13"/>
  <c r="D7" i="13"/>
  <c r="D6" i="13"/>
  <c r="D5" i="13"/>
  <c r="D4" i="13"/>
  <c r="D3" i="13"/>
  <c r="D48" i="10"/>
  <c r="F4" i="7"/>
  <c r="G6" i="6"/>
  <c r="C9" i="5"/>
  <c r="C7" i="5"/>
  <c r="H8" i="3"/>
  <c r="G8" i="3"/>
  <c r="G7" i="3"/>
  <c r="H7" i="3"/>
  <c r="G6" i="3"/>
  <c r="H6" i="3"/>
  <c r="C7" i="2"/>
  <c r="C10" i="2" s="1"/>
  <c r="E15" i="3" l="1"/>
  <c r="G15" i="3"/>
  <c r="H15" i="3"/>
  <c r="C23" i="10"/>
  <c r="K23" i="10" s="1"/>
  <c r="D41" i="10" l="1"/>
  <c r="D28" i="10"/>
  <c r="D29" i="10"/>
  <c r="D30" i="10"/>
  <c r="D31" i="10"/>
  <c r="D32" i="10"/>
  <c r="D33" i="10"/>
  <c r="D34" i="10"/>
  <c r="D35" i="10"/>
  <c r="D36" i="10"/>
  <c r="D37" i="10"/>
  <c r="D38" i="10"/>
  <c r="D39" i="10"/>
  <c r="D40" i="10"/>
  <c r="D42" i="10"/>
  <c r="D43" i="10"/>
  <c r="D44" i="10"/>
  <c r="D45" i="10"/>
  <c r="D46" i="10"/>
  <c r="D47" i="10"/>
  <c r="C37" i="12" l="1"/>
  <c r="G60" i="6"/>
  <c r="G59" i="6"/>
  <c r="F21" i="6"/>
  <c r="D37" i="12" l="1"/>
  <c r="B12" i="14"/>
  <c r="D12" i="14" s="1"/>
  <c r="H16" i="3"/>
  <c r="G16" i="3" l="1"/>
  <c r="G4" i="7" l="1"/>
  <c r="I9" i="3" l="1"/>
  <c r="H10" i="3"/>
  <c r="I10" i="3" s="1"/>
  <c r="G10" i="3"/>
  <c r="G11" i="3" l="1"/>
  <c r="H11" i="3"/>
  <c r="G17" i="3" l="1"/>
  <c r="G18" i="3" l="1"/>
  <c r="I8" i="3"/>
  <c r="D17" i="1" l="1"/>
  <c r="D18" i="1"/>
  <c r="D19" i="1"/>
  <c r="D20" i="1"/>
  <c r="F66" i="9" l="1"/>
  <c r="C32" i="12" s="1"/>
  <c r="G4" i="8"/>
  <c r="F41" i="8"/>
  <c r="C29" i="12" s="1"/>
  <c r="F33" i="7"/>
  <c r="C26" i="12" s="1"/>
  <c r="G5" i="6"/>
  <c r="G7" i="6"/>
  <c r="G8" i="6"/>
  <c r="G9" i="6"/>
  <c r="G10" i="6"/>
  <c r="G11" i="6"/>
  <c r="G12" i="6"/>
  <c r="G13" i="6"/>
  <c r="G14" i="6"/>
  <c r="G15" i="6"/>
  <c r="G17" i="6"/>
  <c r="G18" i="6"/>
  <c r="G19" i="6"/>
  <c r="G20" i="6"/>
  <c r="G21" i="6"/>
  <c r="G22" i="6"/>
  <c r="G23" i="6"/>
  <c r="G24" i="6"/>
  <c r="G25" i="6"/>
  <c r="G26" i="6"/>
  <c r="G28" i="6"/>
  <c r="G29" i="6"/>
  <c r="G31" i="6"/>
  <c r="G32" i="6"/>
  <c r="G33" i="6"/>
  <c r="G34" i="6"/>
  <c r="G35" i="6"/>
  <c r="G36" i="6"/>
  <c r="G38" i="6"/>
  <c r="G39" i="6"/>
  <c r="G40" i="6"/>
  <c r="G41" i="6"/>
  <c r="G42" i="6"/>
  <c r="G43" i="6"/>
  <c r="G44" i="6"/>
  <c r="G45" i="6"/>
  <c r="G46" i="6"/>
  <c r="G47" i="6"/>
  <c r="G48" i="6"/>
  <c r="G49" i="6"/>
  <c r="G50" i="6"/>
  <c r="G51" i="6"/>
  <c r="G52" i="6"/>
  <c r="G53" i="6"/>
  <c r="G54" i="6"/>
  <c r="G55" i="6"/>
  <c r="G56" i="6"/>
  <c r="G57" i="6"/>
  <c r="G58" i="6"/>
  <c r="G61" i="6"/>
  <c r="G4" i="6"/>
  <c r="D8" i="5"/>
  <c r="D9" i="5"/>
  <c r="D10" i="5"/>
  <c r="D7" i="5"/>
  <c r="C12" i="5"/>
  <c r="C20" i="12" s="1"/>
  <c r="D8" i="4"/>
  <c r="D7" i="4"/>
  <c r="C10" i="4"/>
  <c r="C17" i="12" s="1"/>
  <c r="I14" i="3"/>
  <c r="E9" i="2"/>
  <c r="E7" i="2"/>
  <c r="C11" i="12"/>
  <c r="D16" i="1"/>
  <c r="D21" i="1"/>
  <c r="D14" i="1"/>
  <c r="D10" i="1"/>
  <c r="D11" i="1"/>
  <c r="E10" i="2" l="1"/>
  <c r="H7" i="12"/>
  <c r="G66" i="9"/>
  <c r="G41" i="8"/>
  <c r="I7" i="3" l="1"/>
  <c r="I6" i="3" l="1"/>
  <c r="I11" i="3" s="1"/>
  <c r="D26" i="10"/>
  <c r="D24" i="10" l="1"/>
  <c r="D25" i="10"/>
  <c r="D27" i="10"/>
  <c r="D4" i="10"/>
  <c r="D5" i="10"/>
  <c r="D6" i="10"/>
  <c r="D7" i="10"/>
  <c r="D8" i="10"/>
  <c r="D9" i="10"/>
  <c r="D10" i="10"/>
  <c r="D11" i="10"/>
  <c r="D12" i="10"/>
  <c r="D13" i="10"/>
  <c r="D14" i="10"/>
  <c r="D15" i="10"/>
  <c r="D16" i="10"/>
  <c r="D17" i="10"/>
  <c r="D18" i="10"/>
  <c r="D19" i="10"/>
  <c r="D20" i="10"/>
  <c r="D21" i="10"/>
  <c r="D23" i="10"/>
  <c r="D3" i="10"/>
  <c r="C22" i="10"/>
  <c r="C49" i="10" l="1"/>
  <c r="K49" i="10" s="1"/>
  <c r="F35" i="12" s="1"/>
  <c r="F38" i="12" s="1"/>
  <c r="F40" i="12" s="1"/>
  <c r="K22" i="10"/>
  <c r="D22" i="10"/>
  <c r="D49" i="10" s="1"/>
  <c r="C35" i="12"/>
  <c r="D17" i="12"/>
  <c r="D18" i="12" s="1"/>
  <c r="B13" i="12"/>
  <c r="B10" i="12"/>
  <c r="B6" i="12"/>
  <c r="D11" i="12"/>
  <c r="D12" i="12" s="1"/>
  <c r="H32" i="12"/>
  <c r="H29" i="12"/>
  <c r="H26" i="12"/>
  <c r="H23" i="12"/>
  <c r="H20" i="12"/>
  <c r="B19" i="12"/>
  <c r="H17" i="12"/>
  <c r="A16" i="12"/>
  <c r="H11" i="12"/>
  <c r="D35" i="12" l="1"/>
  <c r="C18" i="12"/>
  <c r="C12" i="12"/>
  <c r="F37" i="6" l="1"/>
  <c r="G37" i="6" s="1"/>
  <c r="F16" i="6"/>
  <c r="G16" i="6" s="1"/>
  <c r="D20" i="12"/>
  <c r="D21" i="12" s="1"/>
  <c r="I15" i="3"/>
  <c r="I16" i="3"/>
  <c r="H17" i="3" l="1"/>
  <c r="H18" i="3" s="1"/>
  <c r="D12" i="5"/>
  <c r="C21" i="12"/>
  <c r="D14" i="12" l="1"/>
  <c r="D15" i="12" s="1"/>
  <c r="I17" i="3"/>
  <c r="I18" i="3" s="1"/>
  <c r="C8" i="1"/>
  <c r="D8" i="1" s="1"/>
  <c r="C9" i="1"/>
  <c r="D9" i="1" s="1"/>
  <c r="C22" i="1" l="1"/>
  <c r="D15" i="1"/>
  <c r="C12" i="1"/>
  <c r="F30" i="6"/>
  <c r="F62" i="6" l="1"/>
  <c r="C23" i="12" s="1"/>
  <c r="G30" i="6"/>
  <c r="C23" i="1"/>
  <c r="C7" i="12"/>
  <c r="D22" i="1"/>
  <c r="C8" i="12"/>
  <c r="D8" i="12" s="1"/>
  <c r="D12" i="1"/>
  <c r="D10" i="4"/>
  <c r="D23" i="1" l="1"/>
  <c r="C33" i="12"/>
  <c r="D32" i="12"/>
  <c r="D33" i="12" s="1"/>
  <c r="C30" i="12"/>
  <c r="D29" i="12"/>
  <c r="D30" i="12" s="1"/>
  <c r="C24" i="12"/>
  <c r="D23" i="12"/>
  <c r="D24" i="12" s="1"/>
  <c r="G62" i="6"/>
  <c r="D7" i="12" l="1"/>
  <c r="D9" i="12" s="1"/>
  <c r="C9" i="12"/>
  <c r="G33" i="7"/>
  <c r="D26" i="12" l="1"/>
  <c r="C27" i="12" s="1" a="1"/>
  <c r="D27" i="12" l="1"/>
  <c r="D38" i="12" s="1"/>
  <c r="C27" i="12"/>
  <c r="C40" i="12" l="1"/>
</calcChain>
</file>

<file path=xl/sharedStrings.xml><?xml version="1.0" encoding="utf-8"?>
<sst xmlns="http://schemas.openxmlformats.org/spreadsheetml/2006/main" count="1553" uniqueCount="943">
  <si>
    <t>A</t>
  </si>
  <si>
    <t>TOWAGE EXPENSES</t>
  </si>
  <si>
    <t>Sr. No.</t>
  </si>
  <si>
    <t>Description</t>
  </si>
  <si>
    <t>Budgetory Cost</t>
  </si>
  <si>
    <t>Budgetory cost</t>
  </si>
  <si>
    <t>Remarks</t>
  </si>
  <si>
    <t>(in USD)</t>
  </si>
  <si>
    <t>(in INR)</t>
  </si>
  <si>
    <t>I</t>
  </si>
  <si>
    <t>Location Certifcate Approval</t>
  </si>
  <si>
    <t>Towage Certificate Approval</t>
  </si>
  <si>
    <t>Other miscellaneous charges towards flight tickets, transportation etc. of MWS</t>
  </si>
  <si>
    <t>Estimated</t>
  </si>
  <si>
    <t>Day Rate of Onboard Surveyor(Rig Mover/MWS)</t>
  </si>
  <si>
    <t>Total</t>
  </si>
  <si>
    <t>II</t>
  </si>
  <si>
    <t>Tow Boat &amp; other Port Expenses</t>
  </si>
  <si>
    <t>Marine Weather Forecast</t>
  </si>
  <si>
    <t>Inward &amp; Outward Port Clearance for Rig</t>
  </si>
  <si>
    <t xml:space="preserve">Inward &amp; Outward Port Clearance for Tug </t>
  </si>
  <si>
    <t>Pilot Charges</t>
  </si>
  <si>
    <t>Contiengency &amp; other misc charges</t>
  </si>
  <si>
    <t>B</t>
  </si>
  <si>
    <t xml:space="preserve"> CLASS RELATED EXPENSES</t>
  </si>
  <si>
    <t xml:space="preserve"> CLASS SURVEY &amp; RELATED EXPENSES</t>
  </si>
  <si>
    <t>Annexure III</t>
  </si>
  <si>
    <t>C</t>
  </si>
  <si>
    <t>S.No</t>
  </si>
  <si>
    <t>DESCRIPTION</t>
  </si>
  <si>
    <t>UOM</t>
  </si>
  <si>
    <t>Qty</t>
  </si>
  <si>
    <t>Agency Fee</t>
  </si>
  <si>
    <t>Mon</t>
  </si>
  <si>
    <t>Port Due</t>
  </si>
  <si>
    <t>Ea</t>
  </si>
  <si>
    <t>Port parking charges</t>
  </si>
  <si>
    <t>day</t>
  </si>
  <si>
    <t>Lube oil for engines, Mud pump. Hydraulic oil for HPU, KOOMI Unit, Jacking Gearbox etc</t>
  </si>
  <si>
    <t>15 bbl for 3 nos main Engines &amp; 5 bbl for Jacking system , 5 bbl for Koomey unit, 3 bbl for Drawworks,8 bbls for Mud pump, 1 bbl Compressor oil &amp; 5 bbls contigency.</t>
  </si>
  <si>
    <t>Supply of Pot Water in Harbour (Approx.)</t>
  </si>
  <si>
    <t>Diesel for Rig</t>
  </si>
  <si>
    <t>Grand Total</t>
  </si>
  <si>
    <t>D</t>
  </si>
  <si>
    <t>Agency Charges / Transportation</t>
  </si>
  <si>
    <t>Overseas Freight &amp; Forwarding Expenses</t>
  </si>
  <si>
    <t>Customs Formalities and customs charges etc</t>
  </si>
  <si>
    <t>E</t>
  </si>
  <si>
    <t>Crew Expenses</t>
  </si>
  <si>
    <t>Catering &amp; services onboard</t>
  </si>
  <si>
    <t>Crew/Contractor Transport &amp; Accomodation,local and  Flight Tickets</t>
  </si>
  <si>
    <t>Crew Salary</t>
  </si>
  <si>
    <t>Internet for Communication</t>
  </si>
  <si>
    <t>F</t>
  </si>
  <si>
    <t>Drilling, Well Control and Solid Control</t>
  </si>
  <si>
    <t>Area</t>
  </si>
  <si>
    <t>DEPARTMENT / JOB DESCRIPTION</t>
  </si>
  <si>
    <t>WORK TO BE CARRIED OUT BY</t>
  </si>
  <si>
    <t>Budgetory Cost
(USD)</t>
  </si>
  <si>
    <t>Derrick</t>
  </si>
  <si>
    <t>Third Party</t>
  </si>
  <si>
    <t>Drilling</t>
  </si>
  <si>
    <t>Crown Block/Cluster sheaves/Fastline/Deadline/Deflector Sheaves - CAT IV</t>
  </si>
  <si>
    <t>OEM/API</t>
  </si>
  <si>
    <t>Top Drive - Overhual- CAT IV and Commisisioning.</t>
  </si>
  <si>
    <t xml:space="preserve">Well center - Allignement </t>
  </si>
  <si>
    <t>Deadline Anchor - CAT IV</t>
  </si>
  <si>
    <t>Draw Works - CAT IV</t>
  </si>
  <si>
    <t>Brake stop plate to be changed</t>
  </si>
  <si>
    <t xml:space="preserve">Eaton Dynamic brake/Emergency brake inspection and certification </t>
  </si>
  <si>
    <t>Mud Pumps - CAT IV</t>
  </si>
  <si>
    <t>Mud Pumps - Pulsation Dampeners &amp; Relief Valves</t>
  </si>
  <si>
    <t>Rig Crew</t>
  </si>
  <si>
    <t>Iron Roughneck - CAT IV</t>
  </si>
  <si>
    <t>Drill floor</t>
  </si>
  <si>
    <t>BOP Test Pump refurbishment</t>
  </si>
  <si>
    <t>Inhouse</t>
  </si>
  <si>
    <t>Wireline Unit - Inhouse maintenance</t>
  </si>
  <si>
    <t>Pipe racking floor wood - Installation</t>
  </si>
  <si>
    <t>Inside BOP Valves -  Inspection &amp; Pressure Testing (3-1/2" , 5", 5-1/2") - with Spares</t>
  </si>
  <si>
    <t>C&amp;K Hoses, Rotary Hoses - Certification /Pressure test with remedial under API 16C &amp; API 7K</t>
  </si>
  <si>
    <t xml:space="preserve">Procurement of Choke and kill hoses as per operational requirements </t>
  </si>
  <si>
    <t>Well Control</t>
  </si>
  <si>
    <t>BOP Side Outlets valves Recertification</t>
  </si>
  <si>
    <t>BOP RAMs</t>
  </si>
  <si>
    <t>Inventory of BOP RAMs &amp; elastomers to be checked &amp; recertified.</t>
  </si>
  <si>
    <t>HP Hoses</t>
  </si>
  <si>
    <t>HP Hose recertification (14 No.) and repalcement if rejected - Accounted in Hose Register</t>
  </si>
  <si>
    <t>Diverter System</t>
  </si>
  <si>
    <t xml:space="preserve">Mud System </t>
  </si>
  <si>
    <t>Ref Star DD
New Basket cost from Import, USD 55000</t>
  </si>
  <si>
    <t>Centrifuges-Major Overhaul required</t>
  </si>
  <si>
    <t>Third party</t>
  </si>
  <si>
    <t xml:space="preserve">Mud tank Agitators and Mud guns- Overhauling &amp; need to replace some off fan blades </t>
  </si>
  <si>
    <t>Mixing Hopper &amp; Mixer-Overhauling &amp; Testing</t>
  </si>
  <si>
    <t>Feed/Mono Pumps - Overahauling &amp; Testing</t>
  </si>
  <si>
    <t>Mud Lab &amp; Instruments - need to be replaced,Inventory to be checked &amp; calibration to be done</t>
  </si>
  <si>
    <t>Rig Crew/Third Party</t>
  </si>
  <si>
    <t>Cementing</t>
  </si>
  <si>
    <t>Cementing Unit Procurement</t>
  </si>
  <si>
    <t>Cementing Unit Operational Spares</t>
  </si>
  <si>
    <t>Transmission Overhaul with testing - 2nos</t>
  </si>
  <si>
    <t>Treating Irons MPI/UT/ Pressure test with Certification</t>
  </si>
  <si>
    <t>2" &amp; 1" Plug valves, 1" Auto Choke Overhauling &amp; MPI/UT/ Pressure test pressure test</t>
  </si>
  <si>
    <t>Instrumentation- Data Logger, Manual Chart Recorder, PRVs, Transducers, Sensors, Weight indicators</t>
  </si>
  <si>
    <t>Procurement of new Cementing Head - 9-5/8" &amp; 13-3/8"</t>
  </si>
  <si>
    <t>Handling Equipment</t>
  </si>
  <si>
    <t>Handling Tools - CAT IV</t>
  </si>
  <si>
    <t>Jars</t>
  </si>
  <si>
    <t>Flare boom</t>
  </si>
  <si>
    <t xml:space="preserve">Burners and Burner Booms maintanence </t>
  </si>
  <si>
    <t>MISC</t>
  </si>
  <si>
    <t>Other MISC Spares and services plus Punch point clearance</t>
  </si>
  <si>
    <t>Shooting nipple</t>
  </si>
  <si>
    <t>Shooting Nipple material compliant to API and NACE standards</t>
  </si>
  <si>
    <t>BOP/DSA/Risers/Diverter Studs &amp; Nut</t>
  </si>
  <si>
    <t>G</t>
  </si>
  <si>
    <t>MECHANICAL</t>
  </si>
  <si>
    <t>Engine</t>
  </si>
  <si>
    <t>Cooling system</t>
  </si>
  <si>
    <t>Rig crew</t>
  </si>
  <si>
    <t>Air system</t>
  </si>
  <si>
    <t>Air dryers need to be overhaul(service air dryer &amp; Bulk air dryer)</t>
  </si>
  <si>
    <t>Cold Start Compressor - Overhauling &amp; Testing</t>
  </si>
  <si>
    <t xml:space="preserve">Auxiliary Pumps </t>
  </si>
  <si>
    <t xml:space="preserve"> All the pumps(Mud mixing, mud charging, fire /sea water/Drill water/foam &amp; deluge pump , foam pump , Degasser, Desilter, mud clener pumps, Trip tank pumps, Base oil &amp; break cooling pumps, fuel service &amp; transfer pumps ,Brine Pump,speck pumps need to service &amp; overhual</t>
  </si>
  <si>
    <t>Deck equipment</t>
  </si>
  <si>
    <t>Bilge system pumps - Overhaul &amp; Testing</t>
  </si>
  <si>
    <t>Deep Well Pumps , Deep well manifold &amp; strainer modification by 3rd party - Overhaul &amp; Testing</t>
  </si>
  <si>
    <t>High Pressure Washers- Overhauling &amp; Testing</t>
  </si>
  <si>
    <t>Garbage Compactor  - Overhaul &amp; Testing</t>
  </si>
  <si>
    <t>Macerator  - Overhaul &amp; Testing</t>
  </si>
  <si>
    <t xml:space="preserve">Main HPU - need to be service, replace all hydrulic control hoses,replace heat echanger assy, </t>
  </si>
  <si>
    <t>Cathead - need to be overhaul hydraulic cylinders</t>
  </si>
  <si>
    <t>Rig crew/Third Party</t>
  </si>
  <si>
    <t>Hoisting</t>
  </si>
  <si>
    <t>Manrider Winches - Overhauling</t>
  </si>
  <si>
    <t>Deck Crane</t>
  </si>
  <si>
    <t>Mechanical</t>
  </si>
  <si>
    <t>OWS - Overhauling</t>
  </si>
  <si>
    <t>Potable Water System - Overhauling</t>
  </si>
  <si>
    <t>H</t>
  </si>
  <si>
    <t>Electrical and Power Plant</t>
  </si>
  <si>
    <t>Alternators</t>
  </si>
  <si>
    <t xml:space="preserve">NOV alternator - 5nos, (Overhauling)
</t>
  </si>
  <si>
    <t xml:space="preserve">Mud Pumps </t>
  </si>
  <si>
    <t xml:space="preserve">Main Motors(6 nos) and auxilary motors- (Overhauling)     
</t>
  </si>
  <si>
    <t>Drawworks</t>
  </si>
  <si>
    <t>Main Motors-( 3nos) and auxilary motors Overhauling    
&amp; DWS Brake cooling Flow issue need to rectify .</t>
  </si>
  <si>
    <t>Main Motor &amp; auxiliary motor - overhauling</t>
  </si>
  <si>
    <t>Rotary table</t>
  </si>
  <si>
    <t>Jacking System</t>
  </si>
  <si>
    <t>Variable frequeny Drives</t>
  </si>
  <si>
    <t>All the VFDs (Mud pump, Draw works and TDS/RT)need to carryout health check up .</t>
  </si>
  <si>
    <t>Amphion</t>
  </si>
  <si>
    <t>Main &amp; Emergency switchboard</t>
  </si>
  <si>
    <t xml:space="preserve">All the switchboard (PCR, E-Gen) main breakers health check-up and primary current injection test . </t>
  </si>
  <si>
    <t>HVAC</t>
  </si>
  <si>
    <t>Motors</t>
  </si>
  <si>
    <t xml:space="preserve"> All the motors (Mud mixing, mud charging, fire pump motor, foam pump motor, drill floor HPU, cantilever skidding motor, Radiator motor, mud cutting dryer motor, PORT AFT &amp; PORT FWD crane motor, shale shaker motor, Desander, Desilter, Degasser motor, Mud centrifuge motor, brake cooling motors, mud agitator motors, Air compressor motor, cement unit chemical mixing motors, Trip tank motor, All the life boat motors.) motors need to be inspect (health check-up) including Vibration Checks.</t>
  </si>
  <si>
    <t>Panel Meter calibration and certification</t>
  </si>
  <si>
    <t>Transformers</t>
  </si>
  <si>
    <t>2000 KVA( 2no) AND 225 KVA(3 no) TRANSFORMER Inspection &amp; health checkup</t>
  </si>
  <si>
    <t>Cementing unit &amp; Batch mixer engine</t>
  </si>
  <si>
    <t>Data Monitoring system need to be Installed and Configure , Batch mixer engine starting issue Need to troubleshoot and rectify.</t>
  </si>
  <si>
    <t>Radio equipments</t>
  </si>
  <si>
    <t>Main UPS (35KVA)</t>
  </si>
  <si>
    <t xml:space="preserve">Main UPS need to be inspected and serviced </t>
  </si>
  <si>
    <t>Burner boom</t>
  </si>
  <si>
    <t>BOP UPS (3.75 KVA)</t>
  </si>
  <si>
    <t>BOP Control unit UPS Batteries need to  replace Existing batteries are expired already 07/2023.</t>
  </si>
  <si>
    <t>Galley Equipments</t>
  </si>
  <si>
    <t>Galley equipment’s need to be inspected ( ice cube machine BER raised MR)</t>
  </si>
  <si>
    <t>Fire &amp; Gas System</t>
  </si>
  <si>
    <t>Fire &amp; Gas system inspection and repair.</t>
  </si>
  <si>
    <t>PAGA</t>
  </si>
  <si>
    <t>All the telephone inspection and repair.</t>
  </si>
  <si>
    <t>Tank gauging system</t>
  </si>
  <si>
    <t>Tankgauging system PC not working in control room, need to rectify the issue.</t>
  </si>
  <si>
    <t>General</t>
  </si>
  <si>
    <t>EX survey</t>
  </si>
  <si>
    <t>Remedial action of EX survey</t>
  </si>
  <si>
    <t>Noise/DB survey</t>
  </si>
  <si>
    <t>Thermographic survey</t>
  </si>
  <si>
    <t>Lux Survey</t>
  </si>
  <si>
    <t>General Rig lighting improvement</t>
  </si>
  <si>
    <t>Emergency lighting</t>
  </si>
  <si>
    <t>Electrical Tools, calibration of potable electric meters</t>
  </si>
  <si>
    <t>Electrical</t>
  </si>
  <si>
    <t>Cables/Fittings/Consumbales</t>
  </si>
  <si>
    <t>Third party SME/Extra electrical pax</t>
  </si>
  <si>
    <t>Lifting gear, Marine and Safety</t>
  </si>
  <si>
    <t>WORK TO BE DONE BY</t>
  </si>
  <si>
    <t>Misc/General</t>
  </si>
  <si>
    <t>PRVs/PSVs, Weight indicators, Load cells &amp; Gauges(Pressure ,Temp, Compound, SPM, Differential Pressure,Vaccum, Tong Torque,RPM), Pressure switch, Crane Load indicator, Pressure Transmitter) - Calibration &amp; Remedial</t>
  </si>
  <si>
    <t>Base oil need to install flow meter on both  loading station (digital) &amp; Calibration of Flowmeter - Pot Water, Drill water, Fuel</t>
  </si>
  <si>
    <t>Pressure Vessels UTG ( Air receiver @ Main Engine Room, Rig Floor, EMG Gen, Cold Start Comp, Air storage at BOP control unit, cement, Surge Tank, Batch Mixer Tank &amp; Barite Tank) &amp; Hydrotesting</t>
  </si>
  <si>
    <t>Lifting gear Inspection including Towing tackles - Main &amp; Emergency, TDS hang off line, Lifting tackles for BOP, Pile hammer &amp; Burner Boom</t>
  </si>
  <si>
    <t>Remedial of Lifting Gear Inspection</t>
  </si>
  <si>
    <t>UTG of LP Pipe lines - SW, Pot, DW, FO, Bulk line@manifold,Cement&amp; Barite &amp; LP mud line, Rig Air, Engine Exhaust, Fire Line</t>
  </si>
  <si>
    <t>UTG of HP Pipe lines- Well test(Burner line-Oil/Gas)BOP control/Standpipe/Mud/Choke&amp; Kill/Cement/</t>
  </si>
  <si>
    <t>Statutary/Regulatory</t>
  </si>
  <si>
    <t>UTG of Ballast /Void/Mud/Diesel/Pot/DW Tanks/Base Oil wherewever applicable</t>
  </si>
  <si>
    <t>Jetting</t>
  </si>
  <si>
    <t>Leg Jetting System inhouse inspection and maintanence</t>
  </si>
  <si>
    <t>Cranes</t>
  </si>
  <si>
    <t>Remedial against crane inspection</t>
  </si>
  <si>
    <t>Pre &amp; Post NDT of Collum,Boom structures, Load bearing Components</t>
  </si>
  <si>
    <t>Boom Wire, Pendent &amp; Block wire change out</t>
  </si>
  <si>
    <t>Load Test of Crane</t>
  </si>
  <si>
    <t>Remedial of Crane DROP survey</t>
  </si>
  <si>
    <t>lIfting</t>
  </si>
  <si>
    <t>Derrick Escape Device - Recertification</t>
  </si>
  <si>
    <t>Load test - CSB, Utility winches, Derrick Winch, Manrider Winches, BOP Hoist</t>
  </si>
  <si>
    <t>Helideck</t>
  </si>
  <si>
    <t>Load test of perimeter net</t>
  </si>
  <si>
    <t>Skidding</t>
  </si>
  <si>
    <t>Fixation System</t>
  </si>
  <si>
    <t>Replace bolt of Fixation system</t>
  </si>
  <si>
    <t>Safety</t>
  </si>
  <si>
    <t>Fire Fighting System- C02 Fixed @ Engine Room, Paint Locker, E-Gen , SCR - Inspection &amp; Recertification . Bottle Pressure Testing as required based on due date.</t>
  </si>
  <si>
    <t>Remedial Against LSA/FSA- replacement of fixed CO2 system Hoses</t>
  </si>
  <si>
    <t>Hydrotest of Lifeboat Air cylinders, Fixed CO2 Cyinders, EBBD, SCBA</t>
  </si>
  <si>
    <t>Fire Dampner @Machinary room, Mud pump, Engine room and accommodation to be inspected</t>
  </si>
  <si>
    <t>Helideck foam system - Annual inspection, AFFF 3% foam test</t>
  </si>
  <si>
    <t>Water Deluge system/Wet Chemical  - annual inspection</t>
  </si>
  <si>
    <t>Lifeboat/FRC/liferaft Davits -pre &amp; post NDT with Load test &amp; Brake release test</t>
  </si>
  <si>
    <t>Life Rafts - Recertification &amp; replacement</t>
  </si>
  <si>
    <t>Other Safety equipment(LADSAF, SALA Blocks,Harness,Signages etc) as per rig list - certify/repair/replace</t>
  </si>
  <si>
    <t>Preload System - Preload pump, Dump Valves, Check Valves, Replace Docking Plugs, Sounding pipes</t>
  </si>
  <si>
    <t>Bray Valves</t>
  </si>
  <si>
    <t>Bulk Loading Station</t>
  </si>
  <si>
    <t>Offshore loading system - Manifold &amp; Hoses.  Port water - 2 nos x 3"; Drill Water - 2 nos x 3";Diesel - 2 nos x 3" ;  Mud - 4 nos x 5" ; Cement - 2 nos x 5" ;Brine -  2 nos x 3" . Hammer Union end connection on the manifold to be checked with Secondary restraints for the hoses.Accounted in Hose Register</t>
  </si>
  <si>
    <t>Rig crew/third party</t>
  </si>
  <si>
    <t>Accommodation</t>
  </si>
  <si>
    <t xml:space="preserve">Galley </t>
  </si>
  <si>
    <t>Galley Exhaust Cleaning</t>
  </si>
  <si>
    <t>Ducting, Insulation &amp; Laggings</t>
  </si>
  <si>
    <t>General maintanence and painting jobs at main and machinery deck and tanks, Hull, Scaffolding</t>
  </si>
  <si>
    <t>Marine system Valves replacement if leaked/damaged</t>
  </si>
  <si>
    <t xml:space="preserve">General Piping work - Low pressure-  (Pipes and valves)
</t>
  </si>
  <si>
    <t>General High pressure piping-  (Pipes and valves)</t>
  </si>
  <si>
    <t>General steel work and grating work</t>
  </si>
  <si>
    <t>TOTAL</t>
  </si>
  <si>
    <t>J</t>
  </si>
  <si>
    <t>Equipment Description</t>
  </si>
  <si>
    <t>Total in INR</t>
  </si>
  <si>
    <t>Casing Spear for 7" Casing</t>
  </si>
  <si>
    <t>9 5/8" , 7" Casing rotating scrapper activated type</t>
  </si>
  <si>
    <t>Batch Mixer:
Additional Hopper arrangement</t>
  </si>
  <si>
    <t>BOP:
Nut Splitter &amp; Hydraulic Flange Spreader for BOP's and Wellheads of different sizes.</t>
  </si>
  <si>
    <t>Hydraulic Torque Wrench</t>
  </si>
  <si>
    <t xml:space="preserve">External Casing Cutter/Cold cutter - 9-5/8" &amp; 13-3/8" </t>
  </si>
  <si>
    <t>Jet Shearing Device</t>
  </si>
  <si>
    <t>2 nos Hydraulic as per API 16C</t>
  </si>
  <si>
    <t>Screen size of the rig sense unit display monitor in company man office should be minimum 26"</t>
  </si>
  <si>
    <t>1 set of GO &amp; NO-GO gauge for PDC &amp; TCR bit</t>
  </si>
  <si>
    <t>Well Bore Clenaup Tool for 9-5/8"</t>
  </si>
  <si>
    <t>Test plug for all casing size</t>
  </si>
  <si>
    <t>String strainer</t>
  </si>
  <si>
    <t>1-1/2" Tubing for annulas cleaning</t>
  </si>
  <si>
    <t>20” Circulating Head with Leopard connection</t>
  </si>
  <si>
    <t>Clearing Forwarding and Custom Duty Charges</t>
  </si>
  <si>
    <t>Crew flights, visa, CDC , Catering , Communication and salary</t>
  </si>
  <si>
    <t>Travelling Block - CAT IV</t>
  </si>
  <si>
    <t>Texas Deck</t>
  </si>
  <si>
    <t>Forklift</t>
  </si>
  <si>
    <t xml:space="preserve">Winches </t>
  </si>
  <si>
    <t>13-5/8" BOP Stack Recertification</t>
  </si>
  <si>
    <t xml:space="preserve"> 21-1/4" BOP Stack Recertification</t>
  </si>
  <si>
    <t>Shale Shaker basket</t>
  </si>
  <si>
    <t>New purchase of 2 deep well pumps</t>
  </si>
  <si>
    <t>Procurement of Helideck net</t>
  </si>
  <si>
    <t>Forklift new purchase</t>
  </si>
  <si>
    <t>General NDT of Load bearing foundation - All Winches foundation including ,Anchor, fairleads, Towing Fixed tackles-Smith Bracket &amp; Bridle,Chaffing Chain, Delta Plate, Bop Hoist Chain, Helideck, Jackhouse structure</t>
  </si>
  <si>
    <t>Anchor winch refurbishment</t>
  </si>
  <si>
    <t>PTB</t>
  </si>
  <si>
    <t>Cloud Height Sensor</t>
  </si>
  <si>
    <t>Material Code</t>
  </si>
  <si>
    <t>Water maker</t>
  </si>
  <si>
    <t>Deep well</t>
  </si>
  <si>
    <t>Standpipe Manifold Choke &amp; Kill Manifold valves and Cement Manifold  - Recertification</t>
  </si>
  <si>
    <t>336336001/325326001</t>
  </si>
  <si>
    <t>332332001/332335001</t>
  </si>
  <si>
    <t>324026001/324026001</t>
  </si>
  <si>
    <t>365042001/365042003</t>
  </si>
  <si>
    <t>871088/872088</t>
  </si>
  <si>
    <t xml:space="preserve"> CAT IV Ref WOM : JULY 2025
Mud / standpipe manifold - 41,524+21373
Cement Manifoild : 2859+9732
Choke and kill manifold:33275+48303
Hydraulic and manual chokes : 84122
Contingency: 20000</t>
  </si>
  <si>
    <t xml:space="preserve"> Diverter is due for 5 year recertification with COC</t>
  </si>
  <si>
    <t xml:space="preserve">Diesel Consumption while Rig Tow </t>
  </si>
  <si>
    <t>DNV Survey and Flag charges</t>
  </si>
  <si>
    <t>(USD)</t>
  </si>
  <si>
    <t>Annexure Ref</t>
  </si>
  <si>
    <t>i</t>
  </si>
  <si>
    <t>Berthing Charges, fuel, water &amp; Other Related Works</t>
  </si>
  <si>
    <t>Clearing, Forwarding charges
Customs Duty charges etc.</t>
  </si>
  <si>
    <t>MT</t>
  </si>
  <si>
    <t>(QTY)</t>
  </si>
  <si>
    <t>CDC / VISA Fee, Sign Off / Flight Tickets / Transportation
Sign on-off considered for 30crew</t>
  </si>
  <si>
    <t>Rotary Table - CAT IV</t>
  </si>
  <si>
    <t>5 yearly certification as per API 16D 3rd edition requirement as per OISD 174 Estimated</t>
  </si>
  <si>
    <t>Estimated cost for CAT IV, replacement / repair/ rejections</t>
  </si>
  <si>
    <t>Ref: JSUP DD 2023 : 
SPARES : USD 54000 and additional
Estimated cost for repair . Capital expenditaure in case of total rejection is not considered</t>
  </si>
  <si>
    <t>Overhaul -Estimated
Shale Shakers, Cutting dryer, Augers for Dryer &amp; Shakers, Feed Pumps, Centrifugfes, Degasser, Vaccum compressor, Poor Buoy</t>
  </si>
  <si>
    <t>Considered in Sr#24</t>
  </si>
  <si>
    <t>Chikson and lines</t>
  </si>
  <si>
    <t xml:space="preserve">Drill line spool </t>
  </si>
  <si>
    <t>Foam monitors and sprinkler system</t>
  </si>
  <si>
    <t>Miscellaneous Drill floor equipment</t>
  </si>
  <si>
    <t>Drilling Jars and Intensifiers overhauling</t>
  </si>
  <si>
    <t xml:space="preserve">                       SHIPYARD</t>
  </si>
  <si>
    <t>Crew flights, visa, CDC,
Catering, 
Communication, 
Salary</t>
  </si>
  <si>
    <t>Work to be done - Drilling</t>
  </si>
  <si>
    <t>Work to be done - Mechanical</t>
  </si>
  <si>
    <t>Work to be done - Electircal,power</t>
  </si>
  <si>
    <t>Work to be done - Marine and Safety</t>
  </si>
  <si>
    <t>TOTAL (IN USD MILLION) (Annex I to X)</t>
  </si>
  <si>
    <t>TOW BOAT AND OTHER EXPENSES</t>
  </si>
  <si>
    <t>CLASS SURVEY AND RELATED EXPENSES</t>
  </si>
  <si>
    <t>Additional Capital Expenditure to meet contract requirements</t>
  </si>
  <si>
    <t>Ref: JSUPD D 2023 : USD 32007</t>
  </si>
  <si>
    <t>Ref: 2000000lakh + service cost</t>
  </si>
  <si>
    <t>Considering Location Approval at Port Khalid and India 1925$ per approval</t>
  </si>
  <si>
    <t>Marine Warranty Surveyor
 ( Lamprell to Khalid Port)</t>
  </si>
  <si>
    <t>Includes SR NO (9,10,11,12)</t>
  </si>
  <si>
    <t>Considered in CHA- Ann IV SR no 1</t>
  </si>
  <si>
    <t>Ref: Halliburton Quote , including overhauling , New batch mixer &amp; one year operational  spares cost</t>
  </si>
  <si>
    <t>REF: JINDAL STAR DD-2023 :
Including spares , inspection &amp; services</t>
  </si>
  <si>
    <t>Consider in Annexure VI-Sr No-24</t>
  </si>
  <si>
    <t>Considered in ANN- X SR NO -20 once contract awarded</t>
  </si>
  <si>
    <t>KHALID AND LAMPRELL PORT EXPENSES</t>
  </si>
  <si>
    <t>Spud can Inhibitor procurement</t>
  </si>
  <si>
    <t>CS VALUE
TILL DATE</t>
  </si>
  <si>
    <t>USD 16192.6 
 Anode cost</t>
  </si>
  <si>
    <t>PPE and Adminsitration
Liberia and UAE flag</t>
  </si>
  <si>
    <t>Considered in Annexure X Sr#24</t>
  </si>
  <si>
    <t>(USD)/Day
Lamprell</t>
  </si>
  <si>
    <t>(USD)/Day
Khalid</t>
  </si>
  <si>
    <t>BBL</t>
  </si>
  <si>
    <t>Engine MOH- 3 engines</t>
  </si>
  <si>
    <t>Ref: Quote from WWPS</t>
  </si>
  <si>
    <t>BUDGETORY COST
(INR)</t>
  </si>
  <si>
    <t>NOTE: 1) Additional 5 % VAT may be applicable to all  line items depending on location of purchase.
2) Towing charges from UAE to Mumbai not considered as it is part of ONGC mobilisation cost</t>
  </si>
  <si>
    <t>Additional shiyard equipment and services</t>
  </si>
  <si>
    <t>Berthing Charges, Other miscellaneous charges (Fire team),MISCELLANEOUS (STAGING/BARRICADING)</t>
  </si>
  <si>
    <t>BUDGETED  EXPENSES  FOR JINDAL PIONEER RECERTIFICATION &amp; MISCELLANEOUS SERVICES - ANNEXURE III</t>
  </si>
  <si>
    <t>BUDGETED  EXPENSES  FOR JINDAL PIONEER RECERTIFICATION &amp; MISCELLANEOUS SERVICES- ANNEXURE IV</t>
  </si>
  <si>
    <t>BUDGETED  EXPENSES  FOR JINDAL PIONEER RECERTIFICATION &amp; MISCELLANEOUS SERVICES -ANNEXURE V</t>
  </si>
  <si>
    <t xml:space="preserve">            BUDGETED  EXPENSES  FOR JINDAL PIONEER RECERTIFICATION &amp; MISCELLANEOUS SERVICES - ANNEXURE VI                                                                        </t>
  </si>
  <si>
    <t xml:space="preserve">            BUDGETED  EXPENSES  FOR JINDAL PIONEER RECERTIFICATION &amp; MISCELLANEOUS SERVICES- ANNEXURE VII                                                                     </t>
  </si>
  <si>
    <t xml:space="preserve">            BUDGETED  EXPENSES  FOR JINDAL PIONEER RECERTIFICATION &amp; MISCELLANEOUS SERVICES         -ANNEXURE IX                                                               </t>
  </si>
  <si>
    <t>BUDGETED  EXPENSES  FOR JINDAL PIONEER RECERTIFICATION &amp; MISCELLANEOUS SERVICES - ANNEXURE IX</t>
  </si>
  <si>
    <t>ADDITIONAL ITEMS AS PER ONGC TENDER - ANNEXURE X</t>
  </si>
  <si>
    <t xml:space="preserve">            BUDGETED  EXPENSES  FOR JINDAL PIONEER RECERTIFICATION &amp; MISCELLANEOUS SERVICES -ANNEXURE II                                                          </t>
  </si>
  <si>
    <t xml:space="preserve">BUDGETED  EXPENSES  FOR JINDAL PIONEER RECERTIFICATION &amp; MISCELLANEOUS SERVICES -ANNEXURE I                                                         </t>
  </si>
  <si>
    <t>Start up operational spares</t>
  </si>
  <si>
    <t xml:space="preserve">Ref-JE DD 25
$120000
</t>
  </si>
  <si>
    <t>Ref- JS DD -23
$100000</t>
  </si>
  <si>
    <t>Estimated
$3000</t>
  </si>
  <si>
    <t>Considered in Sr#30</t>
  </si>
  <si>
    <t>Considered in Annexure X Sr#25</t>
  </si>
  <si>
    <t xml:space="preserve">Ref: JINDAL STAR DD-23 
-Hoses not replaced in the last 6 years. Replacement of Min 6 hoses considered
-Added additional $1,00,000 considering increase in cost </t>
  </si>
  <si>
    <t>Considered in Annexure VI 
SR no- 46</t>
  </si>
  <si>
    <t>900$ per approval (2 considered)</t>
  </si>
  <si>
    <t>Ref -Jindal Exp 23</t>
  </si>
  <si>
    <t>Lamprell additional charges- $1750/day
Khalid additional charges- $1000/day 
($14/hour charges for electricain mechnanic, riggers and other equipment charges - forklift/cranes)</t>
  </si>
  <si>
    <t>KL</t>
  </si>
  <si>
    <t>All port charges are considered  after the handover of the rig from Saipem to Jindal, Post November 24.</t>
  </si>
  <si>
    <t>Pre - handover equipment endurance test</t>
  </si>
  <si>
    <t>lumpsum</t>
  </si>
  <si>
    <t>Catering charges in Lamprell yard pre hand over</t>
  </si>
  <si>
    <t>Estimated
$25/day considerd for 15 persons for 45 days</t>
  </si>
  <si>
    <t>Ref SUPDD 2024 - 
$48000</t>
  </si>
  <si>
    <t>New purchase- 2PTB</t>
  </si>
  <si>
    <t>Actual cost</t>
  </si>
  <si>
    <t>Ventillation fan motors</t>
  </si>
  <si>
    <t>Office consumables</t>
  </si>
  <si>
    <t>Solid control system - Shale shakers (3 No), Desander, Desilter , Mud cleaner,Mud agitator Degasser,Gumbo shaker, Shale shaker baskets &amp; gates</t>
  </si>
  <si>
    <t>Barge consumables</t>
  </si>
  <si>
    <t>Safety consumables</t>
  </si>
  <si>
    <t>Repair lockers, toilet repair and remedial accessories ,(Pest control)</t>
  </si>
  <si>
    <t xml:space="preserve">Cantilever skidding unit-overhaul </t>
  </si>
  <si>
    <t>IMMCS</t>
  </si>
  <si>
    <t>HMI station work function, Communication error, UPS function test Troubleshooting and Remedial</t>
  </si>
  <si>
    <t>Rig crew/Third party</t>
  </si>
  <si>
    <t>Overhauling and balancing of supply and exhaust fan motors</t>
  </si>
  <si>
    <t>Tank  Cleaning/ FUEL TANSK BASE OIL TANK /PLT</t>
  </si>
  <si>
    <t>Communication</t>
  </si>
  <si>
    <t>Third Party/Rig crew</t>
  </si>
  <si>
    <t>Rig Crew/Third party</t>
  </si>
  <si>
    <t>Spinner  - Overhauling</t>
  </si>
  <si>
    <t>Accomodation</t>
  </si>
  <si>
    <t xml:space="preserve">Broken Door locks and windows replacement </t>
  </si>
  <si>
    <t xml:space="preserve">Need to be overhaul and General service all 3 Air compressor </t>
  </si>
  <si>
    <t>Water Maker - Need to be overhaul, service and remedial spare parts</t>
  </si>
  <si>
    <t>Diesel Oil Purifier - Overhaul/ one Drive motor procurement to be done.</t>
  </si>
  <si>
    <t>Casing Stabbing Board  - need to be service,recertified.</t>
  </si>
  <si>
    <t>Drawwork Air Intensifier - need to be overhauled</t>
  </si>
  <si>
    <t>Hydraulic &amp; Pnuematic Hoses(   BOP Hoist etc) - Inspection &amp; Replacement</t>
  </si>
  <si>
    <t xml:space="preserve"> BOP hoist overhaul and load test Replace all Air supply hoses &amp; control lines hoses </t>
  </si>
  <si>
    <t>Sewage Treatment - Overhauling required one aeration blower required and remedial spares required</t>
  </si>
  <si>
    <t>FSA/LSA annual inspection  - Fire detection system , hydrants, hoses, extingusishers ,Oxygen Cylinders, LB Air cylinders, Pyrotechnic, BUOY, SCBA, Fire Station, Portable system - Annual Inspection and remedial</t>
  </si>
  <si>
    <t>BOP Control System - Re-Certification -  Hydrotest of accumulator bottles,Pressure Vessels, Replacement of bladers and Recertification of Hydraulic hoses and HP lines</t>
  </si>
  <si>
    <t>Conductor tensioning unit
service and overhaul</t>
  </si>
  <si>
    <t>Fire pumps- complete overhaul</t>
  </si>
  <si>
    <t>Sanitary System- Overhauling required and remedial spares required</t>
  </si>
  <si>
    <t>Burner boom ignition system need to be serviced by inhouse and remedial spares</t>
  </si>
  <si>
    <t>Aviation warning lights, Navigation lights/Battery/ Replacement and remedial if required</t>
  </si>
  <si>
    <t>2'' -10K 15O2, 3"- 5K 602 Re-certification and procurement</t>
  </si>
  <si>
    <t>Utility Winches , manriding winch including Derrick Winch - Overhauling</t>
  </si>
  <si>
    <t>Barite and Cement Silos</t>
  </si>
  <si>
    <t>Crane</t>
  </si>
  <si>
    <t>Block hanging line recertification / tong line procurement</t>
  </si>
  <si>
    <t>Silos cleaning / Inspection , replace/ seal gasket of manhole hatch . Remedial if required</t>
  </si>
  <si>
    <t xml:space="preserve"> Rig Sense </t>
  </si>
  <si>
    <t xml:space="preserve"> Rig sense system need to be updated to latest version &amp; all the sensor fault rectification and calibration by NOV. (Mud pit, trip tank level sensors, mud conductivity, density, temperature sensors and mud return flow sensor).</t>
  </si>
  <si>
    <t>Amphion Integrated  network system need to carryout  healthcheckup and necessary trouble shooting if required</t>
  </si>
  <si>
    <t>Crane Stingers procurement</t>
  </si>
  <si>
    <t>PLT,Drill water tanks Renewal of sounding pipes as currenlty chocked</t>
  </si>
  <si>
    <t>Tools/Fittings/Consumables/Machining equipments</t>
  </si>
  <si>
    <t xml:space="preserve">7 Utility Winches,  3Man riders , 2 derrick winches and 3 rig floor winches,CSB wire rope- Wire rope renewal, </t>
  </si>
  <si>
    <t>Third party/ Rig crew</t>
  </si>
  <si>
    <t>Jacking system and need to carryout health check up (Motors, Brakes &amp; Jacking MCC Panels).</t>
  </si>
  <si>
    <t>Pile Hammer procurement/ Transfer from sister rig</t>
  </si>
  <si>
    <t>DSA, SPOOL,RISERS</t>
  </si>
  <si>
    <t>Cups for cup tester</t>
  </si>
  <si>
    <t>Casing and tubing power tong</t>
  </si>
  <si>
    <t>High pressure coflex hose 2" 30m</t>
  </si>
  <si>
    <t>Ref: JE 2025 contract , including , HAPI lights, CCTV</t>
  </si>
  <si>
    <t>Hole openers 23'' , 26''</t>
  </si>
  <si>
    <t>Full Gauge integrated type String Stabilizers - 01 each for hole size (i) 26" (ii)17 ½”, (iii) 12 ¼”, (iv) 8 ½”, (v) 6” (Box x Pin)</t>
  </si>
  <si>
    <t>Full gauge near bit stabilizer  (i)17 ½”, (ii) 12 ¼”, (iii) 8 ½”, (iv) 6” (Box x Pin)</t>
  </si>
  <si>
    <t xml:space="preserve">Under gauge stabilizer 
Under Gauge (1/4") integrated  type String Stabilizers - For 6” hole size (Box x Pin).
Under Gauge (1/4") integrated  type Near bit Stabilizers -For 6” hole size (Box x Box)
Under Gauge (1/8") integrated type String Stabilizers - For 6” hole size (Box x Pin)
Under Gauge (1/2") ") integrated  type 
</t>
  </si>
  <si>
    <t>Drill cuting storage space (waste skip)</t>
  </si>
  <si>
    <t>Circulating sub
 9 5/8” BTC PIN  X 5 ½” FH BOX 13 3/8”BTC PIN X 5 ½” FH BOX</t>
  </si>
  <si>
    <t>Under Gauge (1/2") ") integrated  type String Stabilizers -  01 each for hole size  (Box x Pin)
(i) 17 ½”(ii) 12 ¼”,(iii) 8 ½”</t>
  </si>
  <si>
    <t>Under Gauge (1/2") ") integrated  type String Stabilizers -  01 each for hole size  (Box x Box)
(i) 17 ½”(ii) 12 ¼”,(iii) 8 ½”</t>
  </si>
  <si>
    <t>Crossover for liner cementing head 
5 ½” FH/HT-55 Pin x 4 ½” IF Box -2 Nos each
4 ½” IF Pin x 5 ½” FH/HT-55 Box – 2 Nos each</t>
  </si>
  <si>
    <t>7" Shooting nipple</t>
  </si>
  <si>
    <t>Impression blocks</t>
  </si>
  <si>
    <t>Safety joints</t>
  </si>
  <si>
    <t>Coring tools - 
Outer barrel  6¾” x 4” x 60 ft Core barrel  Inner barrel 2 sets : Fibre glass/Aluminum,</t>
  </si>
  <si>
    <t>Cutting Dryer and Auger  ,Overahauling &amp; Testing</t>
  </si>
  <si>
    <t>All the HVAC, FAHU ,chiller freezer ,driller cabinunit health check-up , troubleshooting required</t>
  </si>
  <si>
    <t>Annexure  X</t>
  </si>
  <si>
    <t>Brine filtration unit filters</t>
  </si>
  <si>
    <t>Cable trays repair job</t>
  </si>
  <si>
    <r>
      <t xml:space="preserve">Fishing Tools and accessories
</t>
    </r>
    <r>
      <rPr>
        <sz val="11"/>
        <color indexed="10"/>
        <rFont val="Calibri"/>
        <family val="2"/>
      </rPr>
      <t xml:space="preserve">
</t>
    </r>
    <r>
      <rPr>
        <sz val="11"/>
        <rFont val="Calibri"/>
        <family val="2"/>
      </rPr>
      <t>Flat bottom mill size OD 4 1/8"                                                                                           
3 3/8" Junk Sub</t>
    </r>
    <r>
      <rPr>
        <sz val="11"/>
        <color indexed="8"/>
        <rFont val="Calibri"/>
        <family val="2"/>
      </rPr>
      <t xml:space="preserve">
</t>
    </r>
  </si>
  <si>
    <t>Procurement</t>
  </si>
  <si>
    <t>Rig crew /Third party</t>
  </si>
  <si>
    <t>Bulk hose floaters</t>
  </si>
  <si>
    <t>Bulk hose</t>
  </si>
  <si>
    <t>$800 /KL for 5KL for 140 days
110 days at yard &amp; 30 days for tow to mumbai harbour and then to client designated location.</t>
  </si>
  <si>
    <t>Side entry Subs, crossovers,taper mills,cirulcaing subs</t>
  </si>
  <si>
    <t>Tubulars - drill pipes,heavy weight drill pipes drill collars, pup joints</t>
  </si>
  <si>
    <t>Handling equipment</t>
  </si>
  <si>
    <t>Fishing tools</t>
  </si>
  <si>
    <t>TDS- encoder</t>
  </si>
  <si>
    <t>Ex telephones</t>
  </si>
  <si>
    <t>Work vests</t>
  </si>
  <si>
    <t>STP- Aeration blower</t>
  </si>
  <si>
    <t>Elevator links 2 -3/4" x 144" 350 TONS</t>
  </si>
  <si>
    <t>Grinder machine</t>
  </si>
  <si>
    <t>Missing items from rig Jindal Pioneer -post handover from Saipem</t>
  </si>
  <si>
    <t>Considered in Sr no 2</t>
  </si>
  <si>
    <t>Considered in Sr no 25</t>
  </si>
  <si>
    <t>Considered in Sr no 26</t>
  </si>
  <si>
    <t>Considred in Sr. NO 11</t>
  </si>
  <si>
    <t>Cranes -Annual Inspection, cabin glass change, boom srtucture painting, and minor cabin repair jobs.</t>
  </si>
  <si>
    <t>ESTIMATED</t>
  </si>
  <si>
    <t>Budgetary Cost
Total in USD</t>
  </si>
  <si>
    <t>Budgetary Cost
Total in INR</t>
  </si>
  <si>
    <t>Dicth Magnet - 2NOS</t>
  </si>
  <si>
    <t>Considered In Sr no 47</t>
  </si>
  <si>
    <t>Need to carryout health check UP &amp; fault rectification , PROCREMENT</t>
  </si>
  <si>
    <t>Procurement of radio equipments</t>
  </si>
  <si>
    <t>Annexure  XI</t>
  </si>
  <si>
    <t>K</t>
  </si>
  <si>
    <t xml:space="preserve">Additional Items/ Shortfall as per ONGC tender </t>
  </si>
  <si>
    <t>Missing radio room equipments</t>
  </si>
  <si>
    <t>Quote- EOSS</t>
  </si>
  <si>
    <t>Considered in Sr no 35</t>
  </si>
  <si>
    <t>H2S  and Gas Detectors</t>
  </si>
  <si>
    <t>Considered in Annexure X Sr#41</t>
  </si>
  <si>
    <t>FOSVs - Inspection &amp; Pressure Testing (3-1/2 ), with Spares</t>
  </si>
  <si>
    <t>Considered in Sr no 40</t>
  </si>
  <si>
    <t>Adapter, Spools, Risers, DSA, Procurement  Recertification</t>
  </si>
  <si>
    <t>HP &amp; LP pipe needs renewal as corrossion observed. 4000 M pipe line renewal estimated.</t>
  </si>
  <si>
    <t>Main deck/Cantilever pipe rack deck corrossion observed. Centrifuge deck also corrossion observed. 30-40 MT estimated steel work.</t>
  </si>
  <si>
    <t xml:space="preserve">Tow Boat Charges -Lamprell to port khalid </t>
  </si>
  <si>
    <t xml:space="preserve">Spudcan Internal and External anode replacement
</t>
  </si>
  <si>
    <t>Consumption-10MT/day Considered for 140 days at yard at $13/day</t>
  </si>
  <si>
    <t>Marine Warranty Surveyor ( Lamprell to Khalid Port to India)</t>
  </si>
  <si>
    <t>Considered actual amount</t>
  </si>
  <si>
    <t>Donut NDT</t>
  </si>
  <si>
    <t>BUDGETORY COST
(USD)
LAMPRELL HAMRIYAH
(130 DAYS)</t>
  </si>
  <si>
    <t xml:space="preserve">
Lamprell Hamriyah Charges @ $600 /day for 10 days
Khalid Port Charges @ $450/ day for 4 months
</t>
  </si>
  <si>
    <t>BUDGETORY COST
(USD)
LAMPRELL HAMRIYAH(10 DAYS) AND 
PORT KHALID(120 DAYS)</t>
  </si>
  <si>
    <t>Lamprell Hamriyah miscellaneous -$150/day 
Khalid port miscellaneous - $200/day</t>
  </si>
  <si>
    <t>50 person onboard @ USD 17/ person/ day for 150 days
3Cook @ USD 1050/ month, 4- Steward @ USD 735/ea month - for 6 months</t>
  </si>
  <si>
    <t>$3000/day considerd for 60 days and $4500/day considered for 120 days.</t>
  </si>
  <si>
    <t>Etisalat for 180 days</t>
  </si>
  <si>
    <t>Derrick/Mast - CAT III inspection ,including TDS Dolly tracks bolt inspection&amp; Drop Survey along with Remedial
derrick handrails structural alignment and crown ladder allignment</t>
  </si>
  <si>
    <t>Texas Deck  - CTU platform</t>
  </si>
  <si>
    <t>Considered in Sr no 32</t>
  </si>
  <si>
    <t xml:space="preserve">Annual inspection of Port &amp; STBD lifeboats, FRC and its davit </t>
  </si>
  <si>
    <t>Remedial against annual inspection of Port &amp; STBD lifeboar,FRC &amp; its Davit with wire Replacement</t>
  </si>
  <si>
    <t>Utility Hoses</t>
  </si>
  <si>
    <t>Hoses procurement- water , fuel,air</t>
  </si>
  <si>
    <t>Currently Pioneer does not have any tubulars</t>
  </si>
  <si>
    <t>Fuel &amp; Exhaust gas monitoring system</t>
  </si>
  <si>
    <t>Quote</t>
  </si>
  <si>
    <t xml:space="preserve">FOSV Procuremnt of (4-1/2"IF, 5-1/2FH") </t>
  </si>
  <si>
    <t>Aeronautical vhf transceiver</t>
  </si>
  <si>
    <t>Quote- Packard International. Value for Qty-1 (5-1/2) and Qty -1 (4-1/2IF)</t>
  </si>
  <si>
    <t>Cup tester</t>
  </si>
  <si>
    <t>Included in Anx VI</t>
  </si>
  <si>
    <t>Moulded cup as the codition is deteriorated</t>
  </si>
  <si>
    <t>Engine radiator System overhaul</t>
  </si>
  <si>
    <t>Visually inspection/Overhaul of all winch gear boxes- Slew, Luff, Boom</t>
  </si>
  <si>
    <t>Vice</t>
  </si>
  <si>
    <t xml:space="preserve">Considered for 4 days Rig move from Hamriyah to port Khalid </t>
  </si>
  <si>
    <t>Considered 1  Sea bed surveys (one in port khalid)</t>
  </si>
  <si>
    <t>PO- NOV
Cost considered as per PO value, cost may increase post D&amp;I</t>
  </si>
  <si>
    <t>PO- NOV 
Cost considered as per PO value, cost may increase post D&amp;I</t>
  </si>
  <si>
    <t>PO VALUE
TILL DATE</t>
  </si>
  <si>
    <t>PO NO</t>
  </si>
  <si>
    <r>
      <rPr>
        <sz val="11"/>
        <color rgb="FFFF0000"/>
        <rFont val="Calibri"/>
        <family val="2"/>
        <scheme val="minor"/>
      </rPr>
      <t xml:space="preserve">
</t>
    </r>
    <r>
      <rPr>
        <sz val="11"/>
        <color theme="1"/>
        <rFont val="Calibri"/>
        <family val="2"/>
        <scheme val="minor"/>
      </rPr>
      <t xml:space="preserve">Anode cost- $16192.6
</t>
    </r>
  </si>
  <si>
    <t xml:space="preserve">Brake cooling pump, Heat exchanger, Well head connection, </t>
  </si>
  <si>
    <t>Considered in Ann X Sr#26</t>
  </si>
  <si>
    <t>CS -ABCO
Cost considered as per PO value, cost may increase post D&amp;I</t>
  </si>
  <si>
    <t>CS- CAMERON SNG
Cost considered as per CS value, cost may increase post D&amp;I</t>
  </si>
  <si>
    <t>CS- OIL STATES
Cost considered as per CS value, cost may increase post D&amp;I</t>
  </si>
  <si>
    <t>CS- NOV
Cost considered as per CS value, cost may increase post D&amp;I</t>
  </si>
  <si>
    <t>CS-ABCO 
Cost considered as per CS value, cost may increase post D&amp;I</t>
  </si>
  <si>
    <t>CS -ABCO only for Inspection
Cost considered as per CS value, cost may increase post D&amp;I</t>
  </si>
  <si>
    <t>CS -ABCO
Cost considered as per CS value, cost may increase post D&amp;I</t>
  </si>
  <si>
    <t>PO- ENERIA 
MOH spare cost Considered for Engines- #1 ,#2 , #4-  $191999/Engine
MOH spare cost considred for Engine - #3 and #5- $75000/Engine
Service cost - $60000 (5 engines)</t>
  </si>
  <si>
    <t>Top Drive</t>
  </si>
  <si>
    <t>Batch Mixer Procurement</t>
  </si>
  <si>
    <t>On-board forklift non-functional</t>
  </si>
  <si>
    <t>Considered in Annexure VI Sr no 4</t>
  </si>
  <si>
    <t>Note: Cost for towing from Khalid Port to Mumbai harbour is not considered.</t>
  </si>
  <si>
    <t>Quote - TIANHE OIL GROUP</t>
  </si>
  <si>
    <t>Handling tools Procurement of elevator , slips and safety clamps required for contract</t>
  </si>
  <si>
    <t xml:space="preserve">Fishing Tools for 2-3/8" DP(2-3/8" Body &amp; 3-3/8" TJ) 
</t>
  </si>
  <si>
    <t>Estimated for One aeration blower missing</t>
  </si>
  <si>
    <t xml:space="preserve">Sea Bed Survey(Khalid Port) </t>
  </si>
  <si>
    <t xml:space="preserve">  </t>
  </si>
  <si>
    <t>Fuel centrifuge main motor</t>
  </si>
  <si>
    <t>Nozzles</t>
  </si>
  <si>
    <t>Bench vise</t>
  </si>
  <si>
    <t>Water heater</t>
  </si>
  <si>
    <t>Reference  Anx VII-sl no.1</t>
  </si>
  <si>
    <t>Engine overhaul cost</t>
  </si>
  <si>
    <t>MR NO</t>
  </si>
  <si>
    <t>Actual cost 
(AED)</t>
  </si>
  <si>
    <t>Actual cost 
(USD)</t>
  </si>
  <si>
    <t>RJPSL/BO/2526/00013</t>
  </si>
  <si>
    <t>RJPSL/IPO/2526/00015</t>
  </si>
  <si>
    <t>RJPSL/BO/2526/00020</t>
  </si>
  <si>
    <t>RJPSL/IPO/2526/00023</t>
  </si>
  <si>
    <t>PO  NO</t>
  </si>
  <si>
    <t>RJPSL/BO/2526/00055</t>
  </si>
  <si>
    <t>RJPSL/IPO/2526/00051</t>
  </si>
  <si>
    <t>RJPSL/BO/2526/00097</t>
  </si>
  <si>
    <t>RJPSL/IPO/2526/00106</t>
  </si>
  <si>
    <t>RJPSL/BO/2526/00075, RJPSL/BO/2526/00106, RJPSL/BO/2526/00012</t>
  </si>
  <si>
    <t>RJPSL/IPO/2526/00065, RJPSL/IPO/2526/00085, RJPSL/IPO/2526/00117</t>
  </si>
  <si>
    <t>RJPSL/BO/2526/00098</t>
  </si>
  <si>
    <t>RJPSL/IPO/2526/00083</t>
  </si>
  <si>
    <t>RJPSL/BO/2526/00128</t>
  </si>
  <si>
    <t>RJPSL/IPO/2526/00108</t>
  </si>
  <si>
    <t>RJPSL/BO/2526/00126</t>
  </si>
  <si>
    <t>RJPSL/IPO/2526/00114</t>
  </si>
  <si>
    <t>RJPSL/BO/2526/00185, RJPSL/BO/2526/00058, RJPSL/BO/2526/00202</t>
  </si>
  <si>
    <t>RJPSL/IPO/2526/00115, RJPSL/IPO/2526/00118, RJPSL/IPO/2526/00137</t>
  </si>
  <si>
    <t>RJPSL/BO/2526/00194, RJPSL/BO/2526/00225</t>
  </si>
  <si>
    <t>RJPSL/IPO/2526/00123, RJPSL/IPO/2526/00126</t>
  </si>
  <si>
    <t>RJPSL/BO/2526/00189</t>
  </si>
  <si>
    <t>RJPSL/IPO/2526/00148</t>
  </si>
  <si>
    <t>RJPSL/BO/2526/00227</t>
  </si>
  <si>
    <t>RJPSL/IPO/2526/00163</t>
  </si>
  <si>
    <t>RJPSL/BO/2526/00091</t>
  </si>
  <si>
    <t>RJPSL/IPO/2526/00167</t>
  </si>
  <si>
    <t>RJPSL/BO/2526/00250</t>
  </si>
  <si>
    <t>RJPSL/IPO/2526/00178</t>
  </si>
  <si>
    <t>RJPSL/BO/2526/00278</t>
  </si>
  <si>
    <t>RJPSL/IPO/2526/00183</t>
  </si>
  <si>
    <t>RJPSL/BO/2526/00017
RJPSL/BO/2526/00282</t>
  </si>
  <si>
    <t>RJPSL/IPO/2526/00021, RJPSL/IPO/2526/00098
RJPSL/IPO/2526/00187
RJPSL/IPO/2526/00188</t>
  </si>
  <si>
    <t>RJPSL/BO/2526/00198</t>
  </si>
  <si>
    <t>RJPSL/IPO/2526/00196</t>
  </si>
  <si>
    <t>RDDPL/BO/2526/00053, RDDPL/BO/2526/00015</t>
  </si>
  <si>
    <t>RDDPL/IPO/2526/00001, RDDPL/IPO/2526/00051</t>
  </si>
  <si>
    <t>RDDPL/BO/2526/00006, RDDPL/BO/2526/00114, RDDPL/BO/2526/00091, RDDPL/BO/2526/00113</t>
  </si>
  <si>
    <t>RDDPL/IPO/2526/00002, RDDPL/IPO/2526/00092, RDDPL/IPO/2526/00096, RDDPL/IPO/2526/00097</t>
  </si>
  <si>
    <t>Actual cost Local 
(AED)</t>
  </si>
  <si>
    <t>Actual cost Local
(USD)</t>
  </si>
  <si>
    <t>Actual Cost Import 
(USD)</t>
  </si>
  <si>
    <t>Actual Cost Import
(USD)</t>
  </si>
  <si>
    <t>RDDPL/BO/2526/00037</t>
  </si>
  <si>
    <t>RDDPL/IPO/2526/00010</t>
  </si>
  <si>
    <t>RDDPL/BO/2526/00038</t>
  </si>
  <si>
    <t>RDDPL/IPO/2526/00012</t>
  </si>
  <si>
    <t>RDDPL/BO/2526/00039</t>
  </si>
  <si>
    <t>RDDPL/IPO/2526/00013</t>
  </si>
  <si>
    <t>RDDPL/BO/2526/00046</t>
  </si>
  <si>
    <t>RDDPL/IPO/2526/00014</t>
  </si>
  <si>
    <t>RDDPL/BO/2526/00047</t>
  </si>
  <si>
    <t>RDDPL/IPO/2526/00015</t>
  </si>
  <si>
    <t>RDDPL/BO/2526/00032</t>
  </si>
  <si>
    <t>RDDPL/IPO/2526/00016</t>
  </si>
  <si>
    <t xml:space="preserve">RJPSL/BO/2526/00110
RDDPL/BO/2526/00030, RDDPL/BO/2526/00031, RDDPL/BO/2526/00033, RDDPL/BO/2526/00035
</t>
  </si>
  <si>
    <t>RDDPL/BO/2526/00036</t>
  </si>
  <si>
    <t>RDDPL/IPO/2526/00018</t>
  </si>
  <si>
    <t>RDDPL/BO/2526/00043</t>
  </si>
  <si>
    <t>RDDPL/IPO/2526/00019</t>
  </si>
  <si>
    <t>RDDPL/BO/2526/00081</t>
  </si>
  <si>
    <t>RDDPL/IPO/2526/00021</t>
  </si>
  <si>
    <t>RDDPL/BO/2526/00040</t>
  </si>
  <si>
    <t>RDDPL/IPO/2526/00028</t>
  </si>
  <si>
    <t>RDDPL/BO/2526/00062</t>
  </si>
  <si>
    <t>RDDPL/IPO/2526/00030</t>
  </si>
  <si>
    <t>RDDPL/BO/2526/00057</t>
  </si>
  <si>
    <t>RDDPL/IPO/2526/00032</t>
  </si>
  <si>
    <t>RDDPL/BO/2526/00055</t>
  </si>
  <si>
    <t>RDDPL/IPO/2526/00034</t>
  </si>
  <si>
    <t>Actual cost Import
(USD)</t>
  </si>
  <si>
    <t xml:space="preserve">RJPSL/BO/2526/00214
RDDPL/BO/2526/00067, RDDPL/BO/2526/00129
</t>
  </si>
  <si>
    <t xml:space="preserve">RJPSL/IPO/2526/00169
RDDPL/IPO/2526/00035, RDDPL/IPO/2526/00107
</t>
  </si>
  <si>
    <t>RDDPL/BO/2526/00003, RDDPL/BO/2526/00092</t>
  </si>
  <si>
    <t>RDDPL/IPO/2526/00046, RDDPL/IPO/2526/00101</t>
  </si>
  <si>
    <t>RDDPL/BO/2526/00007, RDDPL/BO/2526/00073</t>
  </si>
  <si>
    <t>RDDPL/IPO/2526/00048, RDDPL/IPO/2526/00079</t>
  </si>
  <si>
    <t>RDDPL/BO/2526/00008</t>
  </si>
  <si>
    <t>RDDPL/IPO/2526/00049</t>
  </si>
  <si>
    <t>RDDPL/BO/2526/00128</t>
  </si>
  <si>
    <t>RDDPL/IPO/2526/00102</t>
  </si>
  <si>
    <t xml:space="preserve">RJPSL/BO/2526/00111
RDDPL/BO/2526/00102, RDDPL/BO/2526/00125
</t>
  </si>
  <si>
    <t xml:space="preserve">RJPSL/IPO/2526/00088
RDDPL/IPO/2526/00061, RDDPL/IPO/2526/00105
</t>
  </si>
  <si>
    <t>RDDPL/BO/2526/00103</t>
  </si>
  <si>
    <t>RDDPL/IPO/2526/00062</t>
  </si>
  <si>
    <t>RDDPL/BO/2526/00076</t>
  </si>
  <si>
    <t>RDDPL/IPO/2526/00066</t>
  </si>
  <si>
    <t xml:space="preserve">RJPSL/BO/2526/00178
RDDPL/BO/2526/00071, RDDPL/BO/2526/00106, RDDPL/BO/2526/00098
</t>
  </si>
  <si>
    <t xml:space="preserve">RJPSL/IPO/2526/00121
RDDPL/IPO/2526/00068, RDDPL/IPO/2526/00076, RDDPL/IPO/2526/00095
</t>
  </si>
  <si>
    <t>RJPSL/BO/2526/00208
RDDPL/BO/2526/00104</t>
  </si>
  <si>
    <t>RJPSL/IPO/2526/00132
RDDPL/IPO/2526/00071</t>
  </si>
  <si>
    <t>RDDPL/BO/2526/00084, RDDPL/BO/2526/00079</t>
  </si>
  <si>
    <t>RDDPL/IPO/2526/00073, RDDPL/IPO/2526/00074</t>
  </si>
  <si>
    <t xml:space="preserve">RJPSL/BO/2526/00280
RDDPL/BO/2526/00107, RDDPL/BO/2526/00107, RDDPL/BO/2526/00122
</t>
  </si>
  <si>
    <t xml:space="preserve">RJPSL/IPO/2526/00184
RDDPL/IPO/2526/00081, RDDPL/IPO/2526/00082, RDDPL/IPO/2526/00100
</t>
  </si>
  <si>
    <t>RDDPL/BO/2526/00088</t>
  </si>
  <si>
    <t>RDDPL/IPO/2526/00086</t>
  </si>
  <si>
    <t>RDDPL/BO/2526/00112, RDDPL/BO/2526/00112</t>
  </si>
  <si>
    <t>RDDPL/IPO/2526/00087, RDDPL/IPO/2526/00088</t>
  </si>
  <si>
    <t>Actual Cost Import</t>
  </si>
  <si>
    <t>RDDPL/BO/2526/00097</t>
  </si>
  <si>
    <t>RDDPL/IPO/2526/00098</t>
  </si>
  <si>
    <t>RDDPL/BO/2526/00124</t>
  </si>
  <si>
    <t>RDDPL/IPO/2526/00093</t>
  </si>
  <si>
    <t>RDDPL/BO/2526/00116</t>
  </si>
  <si>
    <t>RDDPL/IPO/2526/00103</t>
  </si>
  <si>
    <t>Total Cost IMPORT
(USD)</t>
  </si>
  <si>
    <t>Local Actual Cost</t>
  </si>
  <si>
    <t>Local cost in USD</t>
  </si>
  <si>
    <t>Local cost in INR</t>
  </si>
  <si>
    <t xml:space="preserve">RJPSL/BO/2526/00002
RJPDD/BO/2526/00013 
</t>
  </si>
  <si>
    <t xml:space="preserve">RJPSL/IPO/2526/00001
RJPDD/LPO/2526/00001
</t>
  </si>
  <si>
    <t>Actual cost Local
(INR)</t>
  </si>
  <si>
    <t>RJPDD/LPO/2526/00013</t>
  </si>
  <si>
    <t>RJPDD/BO/2526/00078</t>
  </si>
  <si>
    <t>RJPDD/LPO/2526/00003
RDDPL/IPO/2526/00091
RJPSL/IPO/2526/00079, RJPSL/IPO/2526/00080, RJPSL/IPO/2526/00155</t>
  </si>
  <si>
    <t>RJPDD/BO/2526/00079
RDDPL/BO/2526/00094
RJPSL/BO/2526/00089, RJPSL/BO/2526/00239</t>
  </si>
  <si>
    <t>Actual cost Local
(AED)</t>
  </si>
  <si>
    <t>Actual Cost Local
(INR)</t>
  </si>
  <si>
    <t>Actual Cost Local
(USD)</t>
  </si>
  <si>
    <t>Actual Cost Local
(AED)</t>
  </si>
  <si>
    <t>RJPDD/BO/2526/00100
RJPSL/BO/2526/00068, RJPSL/BO/2526/00079, RJPSL/BO/2526/00085</t>
  </si>
  <si>
    <t>RJPDD/LPO/2526/00026
RJPDD/LPO/2526/00018
RJPSL/IPO/2526/00060, RJPSL/IPO/2526/00076, RJPSL/IPO/2526/00078</t>
  </si>
  <si>
    <t>RJPDD/LPO/2526/00022</t>
  </si>
  <si>
    <t>RJPDD/BO/2526/00111</t>
  </si>
  <si>
    <t>RJPDD/LPO/2526/00015</t>
  </si>
  <si>
    <t>RJPDD/BO/2526/00112</t>
  </si>
  <si>
    <t>RJPDD/LPO/2526/00010</t>
  </si>
  <si>
    <t>RJPDD/BO/2526/00113</t>
  </si>
  <si>
    <t>Actual Local Cost 
(AED)</t>
  </si>
  <si>
    <t>Actual Local Cost 
(USD)</t>
  </si>
  <si>
    <t>Actual Local Cost
(INR)</t>
  </si>
  <si>
    <t>RJPDD/LPO/2526/00008
RJPDD/LPO/2526/00014
RDDPL/IPO/2526/00059</t>
  </si>
  <si>
    <t>RJPDD/BO/2526/00153
RJPDD/BO/2526/00118
RDDPL/BO/2526/00066</t>
  </si>
  <si>
    <t>RJPDD/LPO/2526/00023
RJPDD/LPO/2526/00024</t>
  </si>
  <si>
    <t xml:space="preserve">RJPDD/BO/2526/00173 </t>
  </si>
  <si>
    <t>Actual Local Cost
(USD)</t>
  </si>
  <si>
    <t>Actual Local Cost
(AED)</t>
  </si>
  <si>
    <t>RJPDD/BO/2526/00210
RJPSL/BO/2526/00116</t>
  </si>
  <si>
    <t>RJPDD/LPO/2526/00030
RJPSL/IPO/2526/00092</t>
  </si>
  <si>
    <t>RJPDD/LPO/2526/00025</t>
  </si>
  <si>
    <t>RJPDD/BO/2526/00236</t>
  </si>
  <si>
    <t>RJPDD/BO/2526/00238</t>
  </si>
  <si>
    <t>RJPDD/BO/2526/00241
RJPSL/BO/2526/00197</t>
  </si>
  <si>
    <t>RJPDD/LPO/2526/00033
RJPSL/IPO/2526/00173</t>
  </si>
  <si>
    <t>RJPDD/LPO/2526/00027
RJPSL/IPO/2526/00210</t>
  </si>
  <si>
    <t>RJPDD/BO/2526/00243
RJPSL/BO/2526/00294</t>
  </si>
  <si>
    <t>RJPDD/LPO/2526/00031</t>
  </si>
  <si>
    <t>RJPDD/BO/2526/00248</t>
  </si>
  <si>
    <t xml:space="preserve">RJPDD/LPO/2526/00028
RJPSL/IPO/2526/00120
RDDPL/IPO/2526/00017, RDDPL/IPO/2526/00044, RDDPL/IPO/2526/00053, RDDPL/IPO/2526/00054
</t>
  </si>
  <si>
    <t>RDDPL/BO/2526/00041, RDDPL/BO/2526/00042</t>
  </si>
  <si>
    <t xml:space="preserve">RDDPL/BO/2526/00028, </t>
  </si>
  <si>
    <t xml:space="preserve"> RDDPL/IPO/2526/00025, RDDPL/IPO/2526/00026</t>
  </si>
  <si>
    <t>RDDPL/IPO/2526/00007,</t>
  </si>
  <si>
    <t>RDDPL/BO/2526/00049</t>
  </si>
  <si>
    <t>RDDPL/BO/2526/00083</t>
  </si>
  <si>
    <t>VOR
(USD)</t>
  </si>
  <si>
    <t>RJPDD/BO/2526/00230</t>
  </si>
  <si>
    <t>Ut gauging,
MPI
Stell replacement
Other miscellaneous</t>
  </si>
  <si>
    <t>Total cost in USD</t>
  </si>
  <si>
    <t>Actucal Total Cost 
(USD)</t>
  </si>
  <si>
    <t>Actual Total cost</t>
  </si>
  <si>
    <t>Actual total cost</t>
  </si>
  <si>
    <t>Surplus/Exceeded</t>
  </si>
  <si>
    <t xml:space="preserve">Actual Cost </t>
  </si>
  <si>
    <t>Actual Cost</t>
  </si>
  <si>
    <t xml:space="preserve">Remaining Cost </t>
  </si>
  <si>
    <t xml:space="preserve">RJPSL/BO/2526/00318
RJPDD/BO/2526/00061
RJPDD/LPO/2526/00017
</t>
  </si>
  <si>
    <t xml:space="preserve">RJPSL/IPO/2526/00215
RJPDD/LPO/2526/00016
RJPDD/BO/2526/00062
</t>
  </si>
  <si>
    <t>RJPSL/BO/2526/00319</t>
  </si>
  <si>
    <t>RJPSL/IPO/2526/00223</t>
  </si>
  <si>
    <t>RJPSL/BO/2526/00273</t>
  </si>
  <si>
    <t>RJPSL/IPO/2526/00235</t>
  </si>
  <si>
    <t>RDDPL/BO/2526/00134</t>
  </si>
  <si>
    <t>RDDPL/IPO/2526/00110</t>
  </si>
  <si>
    <t>RDDPL/BO/2526/00137
RDDPL/BO/2526/00022, RDDPL/BO/2526/00130
RDDPL/BO/2526/00001</t>
  </si>
  <si>
    <t>RDDPL/IPO/2526/00113
RDDPL/IPO/2526/00005, RDDPL/IPO/2526/00106
RDDPL/IPO/2526/00040</t>
  </si>
  <si>
    <t>RDDPL/IPO/2526/00116</t>
  </si>
  <si>
    <t>RJPSL/IPO/2526/00237
RJPSL/IPO/2526/00231
RJPSL/IPO/2526/00047</t>
  </si>
  <si>
    <t>RJPSL/BO/2526/00255
RJPSL/BO/2526/00315
RJPSL/BO/2526/00048</t>
  </si>
  <si>
    <t>RJPSL/BO/2526/00317</t>
  </si>
  <si>
    <t>RJPSL/IPO/2526/00240</t>
  </si>
  <si>
    <t>RJPSL/BO/2526/00360</t>
  </si>
  <si>
    <t>RJPSL/IPO/2526/00242</t>
  </si>
  <si>
    <t>Actual Cost local</t>
  </si>
  <si>
    <t>RJPSL/BO/2526/00201
RJPSL/BO/2526/00366</t>
  </si>
  <si>
    <t>RJPSL/IPO/2526/00248
RJPSL/IPO/2526/00165</t>
  </si>
  <si>
    <t>RJPSL/BO/2526/00303
RDDPL/BO/2526/00132</t>
  </si>
  <si>
    <t>RJPSL/IPO/2526/00250</t>
  </si>
  <si>
    <t>RJPSL/BO/2526/00365</t>
  </si>
  <si>
    <t>RJPSL/IPO/2526/00257</t>
  </si>
  <si>
    <t>RJPSL/BO/2526/00384
RJPSL/BO/2526/00006, RJPSL/BO/2526/00006, RJPSL/BO/2526/00015, RJPSL/BO/2526/00021, RJPSL/BO/2526/00219, RJPSL/BO/2526/00219, RJPSL/BO/2526/00218, RJPSL/BO/2526/00217</t>
  </si>
  <si>
    <t>RJPSL/IPO/2526/00258
RJPSL/IPO/2526/00006, RJPSL/IPO/2526/00008, RJPSL/IPO/2526/00020, RJPSL/IPO/2526/00024, RJPSL/IPO/2526/00158, RJPSL/IPO/2526/00159, RJPSL/IPO/2526/00186, RJPSL/IPO/2526/00190</t>
  </si>
  <si>
    <t>RJPSL/BO/2526/00235</t>
  </si>
  <si>
    <t>RJPSL/IPO/2526/00262</t>
  </si>
  <si>
    <t>RJPSL/BO/2526/00396
RJPSL/BO/2526/00329
RJPSL/BO/2526/00295
RJPDD/BO/2526/00186, RJPDD/BO/2526/00188, RJPDD/BO/2526/00239, RJPDD/BO/2526/00247
RDDPL/BO/2526/00025
RJPSL/BO/2526/00007, RJPSL/BO/2526/00018, RJPSL/BO/2526/00024, RJPSL/BO/2526/00030, 
RJPSL/BO/2526/00042, RJPSL/BO/2526/00060, RJPSL/BO/2526/00063, RJPSL/BO/2526/00102, RJPSL/BO/2526/00104, RJPSL/BO/2526/00124, RJPSL/BO/2526/00169, RJPSL/BO/2526/00122, RJPSL/BO/2526/00171, RJPSL/BO/2526/00186, RJPSL/BO/2526/00180, RJPSL/BO/2526/00172, RJPSL/BO/2526/00205, RJPSL/BO/2526/00172, RJPSL/BO/2526/00183, RJPSL/BO/2526/00291, RJPSL/BO/2526/00286</t>
  </si>
  <si>
    <t>RJPSL/IPO/2526/00266
RJPSL/IPO/2526/00252
RJPSL/IPO/2526/00247
RJPDD/LPO/2526/00005, RJPDD/LPO/2526/00007, RJPDD/LPO/2526/00029, RJPDD/LPO/2526/00032
RDDPL/IPO/2526/00052
RJPSL/IPO/2526/00007, RJPSL/IPO/2526/00022, RJPSL/IPO/2526/00028, RJPSL/IPO/2526/00033, RJPSL/IPO/2526/00043, RJPSL/IPO/2526/00052, RJPSL/IPO/2526/00055, RJPSL/IPO/2526/00074, RJPSL/IPO/2526/00084, RJPSL/IPO/2526/00095, RJPSL/IPO/2526/00109, RJPSL/IPO/2526/00111, RJPSL/IPO/2526/00112, RJPSL/IPO/2526/00116, RJPSL/IPO/2526/00122, RJPSL/IPO/2526/00129, RJPSL/IPO/2526/00131, RJPSL/IPO/2526/00139, RJPSL/IPO/2526/00161, RJPSL/IPO/2526/00202, RJPSL/IPO/2526/00203</t>
  </si>
  <si>
    <t>RJPDD/BO/2526/00256
RJPSL/BO/2526/00307
RJPSL/BO/2526/00002, RJPSL/BO/2526/00003, RJPSL/BO/2526/00004, RJPSL/BO/2526/00005, RJPSL/BO/2526/00010, RJPSL/BO/2526/00011, RJPSL/BO/2526/00011, RJPSL/BO/2526/00011, RJPSL/BO/2526/00236, RJPSL/BO/2526/00270</t>
  </si>
  <si>
    <t>RJPDD/LPO/2526/00035
RJPSL/IPO/2526/00221
RJPSL/IPO/2526/00002, RJPSL/IPO/2526/00003, RJPSL/IPO/2526/00004, RJPSL/IPO/2526/00005, RJPSL/IPO/2526/00011, RJPSL/IPO/2526/00012, RJPSL/IPO/2526/00013, RJPSL/IPO/2526/00014, RJPSL/IPO/2526/00145, RJPSL/IPO/2526/00213</t>
  </si>
  <si>
    <t>RJPDD/BO/2526/00242</t>
  </si>
  <si>
    <t>RJPDD/LPO/2526/00036</t>
  </si>
  <si>
    <t>RJPDD/BO/2526/00269</t>
  </si>
  <si>
    <t>RJPDD/LPO/2526/00045</t>
  </si>
  <si>
    <t>RJPDD/LPO/2526/00042</t>
  </si>
  <si>
    <t xml:space="preserve">RJPDD/BO/2526/00237
RDDPL/BO/2526/00044
RJPDD/LPO/2526/00012
</t>
  </si>
  <si>
    <t>RJPDD/LPO/2526/00039
RDDPL/IPO/2526/00011
RJPDD/BO/2526/00057</t>
  </si>
  <si>
    <t>RJPDD/BO/2526/00174</t>
  </si>
  <si>
    <t>RJPDD/LPO/2526/00038</t>
  </si>
  <si>
    <t>Projected cost</t>
  </si>
  <si>
    <t>Projected Cost</t>
  </si>
  <si>
    <t>Projected
Cost</t>
  </si>
  <si>
    <t>Not included in Total</t>
  </si>
  <si>
    <t>Projected Cost
(USD)</t>
  </si>
  <si>
    <t>Annexure I</t>
  </si>
  <si>
    <t>Annexure II</t>
  </si>
  <si>
    <t xml:space="preserve">Annexure </t>
  </si>
  <si>
    <t>Annexure IV</t>
  </si>
  <si>
    <t>Annexure V</t>
  </si>
  <si>
    <t>Annexure VI</t>
  </si>
  <si>
    <t>Annexure VII</t>
  </si>
  <si>
    <t>Annexure VIII</t>
  </si>
  <si>
    <t>Annexure IX</t>
  </si>
  <si>
    <t>Annexure X</t>
  </si>
  <si>
    <t>Annexure XI</t>
  </si>
  <si>
    <t>Budgeted cost</t>
  </si>
  <si>
    <t>T</t>
  </si>
  <si>
    <t>Total budgeted Cost</t>
  </si>
  <si>
    <t>Total Actual Cost</t>
  </si>
  <si>
    <t>Remaining Cost</t>
  </si>
  <si>
    <t>Iron Rouchneck</t>
  </si>
  <si>
    <t>Draw-works</t>
  </si>
  <si>
    <t>Crown block</t>
  </si>
  <si>
    <t>Travelling Block</t>
  </si>
  <si>
    <t>Rotary Table</t>
  </si>
  <si>
    <t>Deadline Anchor</t>
  </si>
  <si>
    <t>BOP</t>
  </si>
  <si>
    <t>Diverter</t>
  </si>
  <si>
    <t>Manifold</t>
  </si>
  <si>
    <t>Major Drilling Eq</t>
  </si>
  <si>
    <t>Cost</t>
  </si>
  <si>
    <t>Mud pumps</t>
  </si>
  <si>
    <t>RDDPL/BO/2526/00140
RJPSL/BO/2526/00246</t>
  </si>
  <si>
    <t>RDDPL/IPO/2526/00126
RJPSL/IPO/2526/00174</t>
  </si>
  <si>
    <t>RDDPL/BO/2526/00144
RDDPL/BO/2526/00010</t>
  </si>
  <si>
    <t>RDDPL/IPO/2526/00127
RDDPL/IPO/2526/00036</t>
  </si>
  <si>
    <t xml:space="preserve">RDDPL/BO/2526/00157
RDDPL/BO/2526/00009, RDDPL/BO/2526/00065
</t>
  </si>
  <si>
    <t>RDDPL/IPO/2526/00128
RDDPL/IPO/2526/00003, RDDPL/IPO/2526/00031</t>
  </si>
  <si>
    <t>RJPSL/BO/2526/00393
RJPDD/BO/2526/00250</t>
  </si>
  <si>
    <t>RJPSL/IPO/2526/00274
RJPDD/LPO/2526/00043</t>
  </si>
  <si>
    <t>RJPSL/BO/2526/00411
RJPSL/BO/2526/00041, RJPSL/BO/2526/00040</t>
  </si>
  <si>
    <t>RJPSL/IPO/2526/00277
RJPSL/IPO/2526/00042, RJPSL/IPO/2526/00110</t>
  </si>
  <si>
    <t>RJPSL/BO/2526/00216
RJPSL/BO/2526/00337
RDDPL/BO/2526/00059</t>
  </si>
  <si>
    <t>RJPSL/IPO/2526/00278
RJPSL/IPO/2526/00255
RDDPL/IPO/2526/00027</t>
  </si>
  <si>
    <t>RJPSL/BO/2526/00350
RJPSL/BO/2526/00338
RJPSL/BO/2526/00242
RDDPL/BO/2526/00119</t>
  </si>
  <si>
    <t>RJPSL/IPO/2526/00283
RJPSL/IPO/2526/00273
RJPSL/IPO/2526/00263
RDDPL/IPO/2526/00089</t>
  </si>
  <si>
    <t>RJPSL/BO/2526/00355
RJPSL/BO/2526/00388
RDDPL/BO/2526/00105, RDDPL/BO/2526/00126</t>
  </si>
  <si>
    <t>RJPSL/IPO/2526/00284
RJPSL/IPO/2526/00265
RDDPL/IPO/2526/00078, RDDPL/IPO/2526/00094</t>
  </si>
  <si>
    <t>RJPSL/BO/2526/00296
RJPSL/BO/2526/00077, RJPSL/BO/2526/00078</t>
  </si>
  <si>
    <t>RJPSL/IPO/2526/00288
RJPSL/IPO/2526/00130, RJPSL/IPO/2526/00192</t>
  </si>
  <si>
    <t>RJPSL/BO/2526/00433
RJPSL/BO/2526/00299</t>
  </si>
  <si>
    <t>RJPSL/IPO/2526/00295
RJPSL/IPO/2526/00249</t>
  </si>
  <si>
    <t>RJPSL/BO/2526/00427
RJPSL/BO/2526/00195
RJPSL/BO/2526/00092</t>
  </si>
  <si>
    <t>RJPSL/IPO/2526/00297
RJPSL/IPO/2526/00166
RJPSL/IPO/2526/00181</t>
  </si>
  <si>
    <t>RJPSL/BO/2526/00405
RJPSL/BO/2526/00298</t>
  </si>
  <si>
    <t>RJPSL/IPO/2526/00299
RJPSL/IPO/2526/00227</t>
  </si>
  <si>
    <t>RJPSL/BO/2526/00364</t>
  </si>
  <si>
    <t>RJPSL/IPO/2526/00301</t>
  </si>
  <si>
    <t>RJPSL/BO/2526/00320
RJPSL/BO/2526/00114</t>
  </si>
  <si>
    <t>RJPSL/IPO/2526/00304
RJPSL/IPO/2526/00090</t>
  </si>
  <si>
    <t>RJPSL/BO/2526/00437
RJPSL/BO/2526/00353
RJPSL/BO/2526/00258
RDDPL/BO/2526/00123
RJPSL/BO/2526/00105, RJPSL/BO/2526/00109, RJPSL/BO/2526/00207, RJPSL/BO/2526/00271</t>
  </si>
  <si>
    <t>RJPSL/IPO/2526/00307
RJPSL/IPO/2526/00260
RJPSL/IPO/2526/00253
RDDPL/IPO/2526/00085
RJPSL/IPO/2526/00075, RJPSL/IPO/2526/00103, RJPSL/IPO/2526/00146, RJPSL/IPO/2526/00195</t>
  </si>
  <si>
    <t>RJPSL/BO/2526/00424
RJPSL/BO/2526/00285
RJPSL/BO/2526/00352
RJPSL/BO/2526/00252</t>
  </si>
  <si>
    <t>RJPSL/IPO/2526/00310
RJPSL/IPO/2526/00259
RJPSL/IPO/2526/00243
RJPSL/IPO/2526/00209</t>
  </si>
  <si>
    <t>RJPSL/BO/2526/00222</t>
  </si>
  <si>
    <t>RJPSL/IPO/2526/00313</t>
  </si>
  <si>
    <t>RJPSL/BO/2526/00432
RJPSL/BO/2526/00359</t>
  </si>
  <si>
    <t>RJPSL/IPO/2526/00315
RJPSL/IPO/2526/00264</t>
  </si>
  <si>
    <t>RJPSL/BO/2526/00370
RJPSL/BO/2526/00022, RJPSL/BO/2526/00022, RJPSL/BO/2526/00090, RJPSL/BO/2526/00094, RJPSL/BO/2526/00123, RJPSL/BO/2526/00300, RJPSL/BO/2526/00304, RJPSL/BO/2526/00276</t>
  </si>
  <si>
    <t>RJPSL/IPO/2526/00320
RJPSL/IPO/2526/00025, RJPSL/IPO/2526/00026, RJPSL/IPO/2526/00073, RJPSL/IPO/2526/00081, RJPSL/IPO/2526/00113, RJPSL/IPO/2526/00205, RJPSL/IPO/2526/00206, RJPSL/IPO/2526/00208</t>
  </si>
  <si>
    <t>RJPSL/BO/2526/00458
RJPDD/BO/2526/00237
RJPDD/BO/2526/00227
RJPSL/BO/2526/00322
RDDPL/BO/2526/00096, RDDPL/BO/2526/00110
RJPSL/BO/2526/00039, RJPSL/BO/2526/00223, RJPSL/BO/2526/00254</t>
  </si>
  <si>
    <t>RJPSL/IPO/2526/00321
RJPDD/LPO/2526/00040
RJPDD/LPO/2526/00040
RJPSL/IPO/2526/00222
RDDPL/IPO/2526/00083, RDDPL/IPO/2526/00084
RJPSL/IPO/2526/00040, RJPSL/IPO/2526/00128, RJPSL/IPO/2526/00191</t>
  </si>
  <si>
    <t>RDDPL/BO/2526/00166
RDDPL/BO/2526/00139
RDDPL/BO/2526/00004, RDDPL/BO/2526/00072</t>
  </si>
  <si>
    <t>RDDPL/IPO/2526/00131
RDDPL/IPO/2526/00112
RDDPL/IPO/2526/00047, RDDPL/IPO/2526/00065</t>
  </si>
  <si>
    <t>RDDPL/BO/2526/00167
RDDPL/BO/2526/00164
RJPSL/BO/2526/00436</t>
  </si>
  <si>
    <t>RDDPL/IPO/2526/00133
RDDPL/IPO/2526/00132
RJPSL/IPO/2526/00300</t>
  </si>
  <si>
    <t>RDDPL/BO/2526/00170
RJPSL/BO/2526/00120
RDDPL/BO/2526/00136</t>
  </si>
  <si>
    <t>RDDPL/IPO/2526/00134
RJPSL/IPO/2526/00150
RDDPL/IPO/2526/00118</t>
  </si>
  <si>
    <t xml:space="preserve">
RDDPL/BO/2526/00138
RJPSL/BO/2526/00196, RJPSL/BO/2526/00289
RDDPL/BO/2526/00054, RDDPL/BO/2526/00054, RDDPL/BO/2526/00090
</t>
  </si>
  <si>
    <t xml:space="preserve">
RDDPL/IPO/2526/00136
RJPSL/IPO/2526/00151, RJPSL/IPO/2526/00201
RDDPL/IPO/2526/00042, RDDPL/IPO/2526/00043, RDDPL/IPO/2526/00072
</t>
  </si>
  <si>
    <t>RDDPL/BO/2526/00151
RDDPL/BO/2526/00151</t>
  </si>
  <si>
    <t>RDDPL/IPO/2526/00137
RDDPL/IPO/2526/00138</t>
  </si>
  <si>
    <t>RDDPL/BO/2526/00178
RJPSL/BO/2526/00234
RJPSL/BO/2526/00047
RDDPL/BO/2526/00085</t>
  </si>
  <si>
    <t>RDDPL/IPO/2526/00139
RJPSL/IPO/2526/00305
RJPSL/IPO/2526/00046
RDDPL/IPO/2526/00077</t>
  </si>
  <si>
    <t>RJPDD/BO/2526/00265
RJPDD/BO/2526/00128
RJPSL/BO/2526/00357
RJPSL/BO/2526/00354
RJPSL/BO/2526/00321
RJPSL/BO/2526/00050, RJPSL/BO/2526/00053, RJPSL/BO/2526/00072, RJPSL/BO/2526/00074, RJPSL/BO/2526/00081, RJPSL/BO/2526/00062, RJPSL/BO/2526/00215, RJPSL/BO/2526/00062
RDDPL/BO/2526/00099</t>
  </si>
  <si>
    <t>RJPDD/LPO/2526/00050
RJPDD/LPO/2526/00049
RJPSL/IPO/2526/00309
RJPSL/IPO/2526/00251
RJPSL/IPO/2526/00224
RJPSL/IPO/2526/00049, RJPSL/IPO/2526/00050, RJPSL/IPO/2526/00062, RJPSL/IPO/2526/00064, RJPSL/IPO/2526/00068, RJPSL/IPO/2526/00102, RJPSL/IPO/2526/00141, RJPSL/IPO/2526/00170
RDDPL/IPO/2526/00055</t>
  </si>
  <si>
    <t>RJPDD/BO/2526/00110
RJPSL/BO/2526/00421
RJPSL/BO/2526/00444
RJPSL/IPO/2526/00239
RJPSL/BO/2526/00272
RJPSL/BO/2526/00031, RJPSL/BO/2526/00049</t>
  </si>
  <si>
    <t>RJPDD/LPO/2526/00051
RJPSL/IPO/2526/00312
RJPSL/IPO/2526/00290
RJPSL/BO/2526/00264
RJPSL/IPO/2526/00233
RJPSL/IPO/2526/00034, RJPSL/IPO/2526/00048</t>
  </si>
  <si>
    <t>RJPDD/BO/2526/00273
RDDPL/BO/2526/00063</t>
  </si>
  <si>
    <t>RJPDD/LPO/2526/00052
RDDPL/IPO/2526/00029</t>
  </si>
  <si>
    <t>RJPDD/BO/2526/00271
RJPSL/BO/2526/00213
RJPSL/BO/2526/00036, RJPSL/BO/2526/00284</t>
  </si>
  <si>
    <t>RJPDD/LPO/2526/00056
RJPSL/IPO/2526/00256
RJPSL/IPO/2526/00037, RJPSL/IPO/2526/00189</t>
  </si>
  <si>
    <t>Note:
The items highlighted in yellow above were not included in the approved budget. These requirements were confirmed and finalized during the final meeting with Saipem prior to handover.
The total amount for these additional items is USD 554,850, which includes:
1.Engine TOH spares cost for 3 engines and Service cost for 4 engines
2.Nozzles
3.Water heater
4.Bench vise
5.Fuel centrifuge main motors</t>
  </si>
  <si>
    <t xml:space="preserve">RJPSL/BO/2526/00391
RJPSL/BO/2526/00391
RDDPL/BO/2526/00148
</t>
  </si>
  <si>
    <t>RJPSL/IPO/2526/00327, RJPSL/IPO/2526/00328
RJPSL/IPO/2526/00316, RJPSL/IPO/2526/00317
RDDPL/IPO/2526/00124</t>
  </si>
  <si>
    <t xml:space="preserve">RJPSL/BO/2526/00400
RDDPL/BO/2526/00176
RJPSL/BO/2526/00108, RJPSL/BO/2526/00206, RJPSL/BO/2526/00269, RJPSL/BO/2526/00265
RDDPL/BO/2526/00026, RDDPL/BO/2526/00027, RDDPL/BO/2526/00061, RDDPL/BO/2526/00086
</t>
  </si>
  <si>
    <t xml:space="preserve">RJPSL/IPO/2526/00329
RDDPL/IPO/2526/00130
RJPSL/IPO/2526/00087, RJPSL/IPO/2526/00177, RJPSL/IPO/2526/00180, RJPSL/IPO/2526/00197
RDDPL/IPO/2526/00008, RDDPL/IPO/2526/00009, RDDPL/IPO/2526/00070, RDDPL/IPO/2526/00075
</t>
  </si>
  <si>
    <t>RJPSL/BO/2526/00463
RJPSL/BO/2526/00129
RJPSL/BO/2526/00244</t>
  </si>
  <si>
    <t>RJPSL/IPO/2526/00332
RJPSL/IPO/2526/00105
RJPSL/IPO/2526/00219</t>
  </si>
  <si>
    <t>RJPSL/BO/2526/00465
RDDPL/BO/2526/00120
RJPSL/BO/2526/00038, RJPSL/BO/2526/00112, RJPSL/BO/2526/00233, RJPSL/BO/2526/00224</t>
  </si>
  <si>
    <t>RJPSL/IPO/2526/00334
RDDPL/IPO/2526/00080
RJPSL/IPO/2526/00039, RJPSL/IPO/2526/00089, RJPSL/IPO/2526/00193, RJPSL/IPO/2526/00194</t>
  </si>
  <si>
    <t>RJPSL/BO/2526/00454
RDDPL/BO/2526/00048</t>
  </si>
  <si>
    <t>RJPSL/IPO/2526/00335
RDDPL/IPO/2526/00041</t>
  </si>
  <si>
    <t>RJPSL/BO/2526/00479
RJPSL/BO/2526/00056</t>
  </si>
  <si>
    <t>RJPSL/IPO/2526/00337
RJPSL/IPO/2526/00104</t>
  </si>
  <si>
    <t>RJPSL/BO/2526/00457</t>
  </si>
  <si>
    <t>RJPSL/IPO/2526/00338</t>
  </si>
  <si>
    <t xml:space="preserve">                                    BUDGETED VS ACTUAL  EXPENSES  FOR JINDAL PIONEER RECERTIFICATION &amp; MISCELLANEOUS SERVICES          
SUMMARY SHEET 17-03-2026                                                      </t>
  </si>
  <si>
    <t>RJPSL/BO/2526/00486
RJPSL/BO/2526/00487
RJPSL/BO/2526/00356
RJPSL/BO/2526/00245</t>
  </si>
  <si>
    <t>RJPSL/IPO/2526/00348
RJPSL/IPO/2526/00342
RJPSL/IPO/2526/00285
RJPSL/IPO/2526/00153</t>
  </si>
  <si>
    <t>RJPSL/BO/2526/00459
RJPSL/BO/2526/00344
RJPSL/BO/2526/00028, RJPSL/BO/2526/00117</t>
  </si>
  <si>
    <t>RJPSL/IPO/2526/00352
RJPSL/IPO/2526/00225
RJPSL/IPO/2526/00031, RJPSL/IPO/2526/00101</t>
  </si>
  <si>
    <t xml:space="preserve">RJPSL/BO/2526/00493
RJPSL/BO/2526/00009
RDDPL/BO/2526/00029, RDDPL/BO/2526/00087
</t>
  </si>
  <si>
    <t xml:space="preserve">RJPSL/IPO/2526/00353
RJPSL/IPO/2526/00010
RDDPL/IPO/2526/00024, RDDPL/IPO/2526/00108
</t>
  </si>
  <si>
    <t>RJPSL/BO/2526/00447
RDDPL/BO/2526/00142
RDDPL/BO/2526/00135
RJPSL/BO/2526/00084, RJPSL/BO/2526/00229, RJPSL/BO/2526/00212, RJPSL/BO/2526/00212</t>
  </si>
  <si>
    <t>RJPSL/IPO/2526/00358
RDDPL/IPO/2526/00125
RDDPL/IPO/2526/00104
RJPSL/IPO/2526/00077, RJPSL/IPO/2526/00138, RJPSL/IPO/2526/00160, RJPSL/IPO/2526/00162</t>
  </si>
  <si>
    <t>RJPSL/BO/2526/00324
RJPSL/BO/2526/00251</t>
  </si>
  <si>
    <t>RJPSL/IPO/2526/00360
RJPSL/IPO/2526/00207</t>
  </si>
  <si>
    <t>RJPSL/BO/2526/00462
RJPSL/BO/2526/00037</t>
  </si>
  <si>
    <t>RJPSL/IPO/2526/00361
RJPSL/IPO/2526/00038</t>
  </si>
  <si>
    <t>RJPSL/BO/2526/00176</t>
  </si>
  <si>
    <t>RJPSL/IPO/2526/00362</t>
  </si>
  <si>
    <t>RJPSL/BO/2526/00443
RJPSL/BO/2526/00093</t>
  </si>
  <si>
    <t>RJPSL/IPO/2526/00363
RJPSL/IPO/2526/00135</t>
  </si>
  <si>
    <t>RJPSL/BO/2526/00397, RJPSL/BO/2526/00490, RJPSL/BO/2526/00377
RJPSL/BO/2526/00420
RJPSL/BO/2526/00420, 
RJPSL/BO/2526/00313
RJPSL/BO/2526/00390
RJPSL/BO/2526/00347
RJPSL/BO/2526/00328
RJPSL/BO/2526/00348
RJPSL/BO/2526/00034, RJPSL/BO/2526/00119, RJPSL/BO/2526/00268, RJPSL/BO/2526/00191</t>
  </si>
  <si>
    <t>RJPSL/IPO/2627/00001, RJPSL/IPO/2627/00003, RJPSL/IPO/2627/00004
RJPSL/IPO/2526/00346
RJPSL/IPO/2526/00302, RJPSL/IPO/2526/00303
RJPSL/IPO/2526/00279, RJPSL/IPO/2526/00280, RJPSL/IPO/2526/00281
RJPSL/IPO/2526/00270
RJPSL/IPO/2526/00246
RJPSL/IPO/2526/00236
RJPSL/IPO/2526/00230
RJPSL/IPO/2526/00036, RJPSL/IPO/2526/00094, RJPSL/IPO/2526/00172, RJPSL/IPO/2526/00199</t>
  </si>
  <si>
    <t>RJPSL/BO/2526/00469
RJPSL/BO/2526/00392
RJPSL/BO/2526/00477
RJPSL/BO/2526/00413
RDDPL/BO/2526/00147
RDDPL/BO/2526/00074
RJPSL/BO/2526/00014, RJPSL/BO/2526/00014, RJPSL/BO/2526/00014, RJPSL/BO/2526/00014, RJPSL/BO/2526/00025, RJPSL/BO/2526/00025, RJPSL/BO/2526/00033, RJPSL/BO/2526/00043, RJPSL/BO/2526/00181, RJPSL/BO/2526/00240, RJPSL/BO/2526/00203, RJPSL/BO/2526/00220, RJPSL/BO/2526/00203</t>
  </si>
  <si>
    <t>RJPSL/IPO/2627/00002
RJPSL/IPO/2526/00359
RJPSL/IPO/2526/00350
RJPSL/IPO/2526/00298
RDDPL/IPO/2526/00123
RDDPL/IPO/2526/00064
RJPSL/IPO/2526/00016, RJPSL/IPO/2526/00017, RJPSL/IPO/2526/00018, RJPSL/IPO/2526/00019, RJPSL/IPO/2526/00029, RJPSL/IPO/2526/00030, RJPSL/IPO/2526/00035, RJPSL/IPO/2526/00041, RJPSL/IPO/2526/00124, RJPSL/IPO/2526/00140, RJPSL/IPO/2526/00142, RJPSL/IPO/2526/00152, RJPSL/IPO/2526/00171</t>
  </si>
  <si>
    <t>RJPSL/BO/2526/00466
RJPSL/BO/2526/00425
RJPSL/BO/2526/00061
RJPSL/BO/2526/00221</t>
  </si>
  <si>
    <t>RJPSL/IPO/2627/00005
RJPSL/IPO/2526/00314
RJPSL/IPO/2526/00053
RJPSL/IPO/2526/00054
RJPSL/IPO/2526/00200</t>
  </si>
  <si>
    <t>RJPSL/BO/2526/00449
RJPSL/BO/2526/00474
RJPDD/BO/2526/00288
RJPSL/BO/2526/00446
RJPSL/BO/2526/00256
RJPSL/BO/2526/00257
RJPSL/BO/2526/00256
RDDPL/BO/2526/00100
RJPSL/BO/2526/00008, RJPSL/BO/2526/00023, RJPSL/BO/2526/00044, RJPSL/BO/2526/00174, RJPSL/BO/2526/00226, RJPSL/BO/2526/00243, RJPSL/BO/2526/00256, RJPSL/BO/2526/00249, RJPSL/BO/2526/00248, RJPSL/BO/2526/00261, RJPSL/BO/2526/00310</t>
  </si>
  <si>
    <t>RJPSL/IPO/2627/00007
RJPSL/IPO/2526/00357
RJPDD/LPO/2526/00059
RJPSL/IPO/2526/00318
RJPSL/IPO/2526/00276
RJPSL/IPO/2526/00261
RJPSL/IPO/2526/00229
RDDPL/IPO/2526/00056
RJPSL/IPO/2526/00009, RJPSL/IPO/2526/00027, RJPSL/IPO/2526/00045, RJPSL/IPO/2526/00099, RJPSL/IPO/2526/00107, RJPSL/IPO/2526/00164, RJPSL/IPO/2526/00168, RJPSL/IPO/2526/00179, RJPSL/IPO/2526/00182, RJPSL/IPO/2526/00185, RJPSL/IPO/2526/00211, RJPSL/IPO/2526/00212</t>
  </si>
  <si>
    <t>RJPSL/BO/2526/00378
RJPDD/BO/2526/00280
RJPSL/BO/2526/00378
RJPSL/BO/2526/00383
RJPSL/BO/2526/00362
RJPSL/BO/2526/00059, RJPSL/BO/2526/00253</t>
  </si>
  <si>
    <t>RJPSL/IPO/2627/00010
RJPDD/LPO/2526/00057
RJPSL/IPO/2526/00311
RJPSL/IPO/2526/00296
RJPSL/IPO/2526/00268
RJPSL/IPO/2526/00241
RJPSL/IPO/2526/00134, RJPSL/IPO/2526/00157</t>
  </si>
  <si>
    <t>RJPSL/BO/2526/00343
RJPSL/BO/2526/00408, RJPSL/BO/2526/00409
RJPSL/BO/2526/00423
RJPSL/BO/2526/00429, RJPSL/BO/2526/00371, RJPSL/BO/2526/00376
RJPSL/BO/2526/00418
RJPDD/BO/2526/00272
RJPSL/BO/2526/00407, RJPSL/BO/2526/00456, RJPSL/BO/2526/00430
RJPSL/BO/2526/00386
RJPSL/BO/2526/00342
RJPSL/BO/2526/00339
RJPSL/BO/2526/00387
RJPSL/BO/2526/00351
RJPSL/BO/2526/00399</t>
  </si>
  <si>
    <t>RJPSL/IPO/2627/00011
RJPSL/IPO/2627/00008, RJPSL/IPO/2627/00009
RJPSL/IPO/2526/00356
RJPSL/IPO/2526/00336, RJPSL/IPO/2526/00341, RJPSL/IPO/2526/00345
RJPSL/IPO/2526/00331
RJPDD/LPO/2526/00053
RJPSL/IPO/2526/00322, RJPSL/IPO/2526/00323, RJPSL/IPO/2526/00319
RJPSL/IPO/2526/00289
RJPSL/IPO/2526/00275
RJPSL/IPO/2526/00269
RJPSL/IPO/2526/00267
RJPSL/IPO/2526/00244
RJPSL/IPO/2526/00272</t>
  </si>
  <si>
    <t>RJPSL/BO/2526/00505
RDDPL/BO/2526/00121</t>
  </si>
  <si>
    <t>RJPSL/IPO/2627/00012
RDDPL/IPO/2526/00141</t>
  </si>
  <si>
    <t>RJPSL/IPO/2627/00013
RJPSL/IPO/2526/00330
RJPSL/IPO/2526/00226
RJPSL/IPO/2526/00032
RJPSL/IPO/2526/00093
RJPSL/IPO/2526/00144</t>
  </si>
  <si>
    <t>RJPSL/BO/2627/00001
RJPSL/BO/2526/00470
RJPSL/BO/2526/00345
RJPSL/BO/2526/00029, RJPSL/BO/2526/00118, RJPSL/IPO/2526/00144</t>
  </si>
  <si>
    <t>RJPDD/BO/2526/00281</t>
  </si>
  <si>
    <t>RJPDD/LPO/2526/00058</t>
  </si>
  <si>
    <t>RJPDD/BO/2526/00286</t>
  </si>
  <si>
    <t>RJPDD/LPO/2526/00060</t>
  </si>
  <si>
    <t>RJPDD/BO/2526/00279
RJPSL/BO/2526/00394
RJPSL/BO/2526/00482
RJPDD/BO/2526/00266
RJPDD/BO/2526/00117
RJPSL/BO/2526/00438
RJPSL/BO/2526/00392
RJPSL/BO/2526/00052
RJPSL/BO/2526/00375
RJPDD/BO/2526/00050
RJPSL/BO/2526/00341
RJPDD/BO/2526/00130, RJPDD/BO/2526/00159, RJPDD/BO/2526/00164
RJPSL/BO/2526/00043, RJPSL/BO/2526/00067, RJPSL/BO/2526/00071, RJPSL/BO/2526/00073, RJPSL/BO/2526/00076, RJPSL/BO/2526/00082, RJPSL/BO/2526/00083, RJPSL/BO/2526/00087, RJPSL/BO/2526/00086, RJPSL/BO/2526/00096, RJPSL/BO/2526/00107, RJPSL/BO/2526/00200, RJPSL/BO/2526/00088, RJPSL/BO/2526/00043, RJPSL/BO/2526/00237, RJPSL/BO/2526/00287, RJPSL/BO/2526/00279</t>
  </si>
  <si>
    <t>RJPDD/LPO/2526/00061
RJPSL/IPO/2627/00006
RJPSL/IPO/2526/00355
RJPDD/LPO/2526/00055
RJPDD/LPO/2526/00048
RJPSL/IPO/2526/00308
RJPSL/IPO/2526/00306
RJPSL/IPO/2526/00294
RJPSL/IPO/2526/00282
RJPDD/LPO/2526/00046
RJPSL/IPO/2526/00232
RJPDD/LPO/2526/00006, RJPDD/LPO/2526/00019, RJPDD/LPO/2526/00020
RJPSL/IPO/2526/00044, RJPSL/IPO/2526/00059, RJPSL/IPO/2526/00061, RJPSL/IPO/2526/00063, RJPSL/IPO/2526/00066, RJPSL/IPO/2526/00069, RJPSL/IPO/2526/00070, RJPSL/IPO/2526/00071, RJPSL/IPO/2526/00072, RJPSL/IPO/2526/00082, RJPSL/IPO/2526/00086, RJPSL/IPO/2526/00125, RJPSL/IPO/2526/00127, RJPSL/IPO/2526/00136, RJPSL/IPO/2526/00156, RJPSL/IPO/2526/00176, RJPSL/IPO/2526/00204</t>
  </si>
  <si>
    <t xml:space="preserve">RJPDD/BO/2526/00268
RJPDD/BO/2526/00177
RDDPL/BO/2526/00117
RJPDD/BO/2526/00249
RJPSL/BO/2526/00192, RJPSL/BO/2526/00230
RDDPL/BO/2526/00024, RDDPL/BO/2526/00060
</t>
  </si>
  <si>
    <t xml:space="preserve">RJPDD/LPO/2526/00062
RJPDD/LPO/2526/00044
RDDPL/IPO/2526/00111
RJPDD/LPO/2526/00028
RJPSL/IPO/2526/00147, RJPSL/IPO/2526/00154 ,
RDDPL/IPO/2526/00006, RDDPL/IPO/2526/00057
</t>
  </si>
  <si>
    <t xml:space="preserve">RDDPL/BO/2526/00165
RJPSL/BO/2526/00489
RDDPL/BO/2526/00160
RJPSL/BO/2526/00115
RDDPL/BO/2526/00082, RDDPL/BO/2526/00050, RDDPL/BO/2526/00070, RDDPL/BO/2526/00069
</t>
  </si>
  <si>
    <t xml:space="preserve">RDDPL/IPO/2526/00144
RJPSL/IPO/2526/00354
RDDPL/IPO/2526/00119 RJPSL/IPO/2526/00091
RDDPL/IPO/2526/00023, RDDPL/IPO/2526/00033, RDDPL/IPO/2526/00063, RDDPL/IPO/2526/00069
</t>
  </si>
  <si>
    <t>RDDPL/BO/2526/00145
RJPSL/BO/2526/00057</t>
  </si>
  <si>
    <t>RDDPL/IPO/2526/00145
RJPSL/IPO/2526/00119</t>
  </si>
  <si>
    <t>RDDPL/BO/2526/00171
RJPSL/BO/2526/00445</t>
  </si>
  <si>
    <t>RDDPL/IPO/2526/00147
RJPSL/IPO/2526/00344</t>
  </si>
  <si>
    <t>RDDPL/BO/2526/00177
RDDPL/BO/2526/00093</t>
  </si>
  <si>
    <t>RDDPL/IPO/2526/00149
RDDPL/IPO/2526/00099</t>
  </si>
  <si>
    <t>RDDPL/BO/2526/00190
RDDPL/BO/2526/00005</t>
  </si>
  <si>
    <t>RDDPL/IPO/2526/00151
RDDPL/IPO/2526/00004</t>
  </si>
  <si>
    <t>RDDPL/BO/2526/00192
RDDPL/BO/2526/00002</t>
  </si>
  <si>
    <t>RDDPL/IPO/2526/00153
RDDPL/IPO/2526/00045</t>
  </si>
  <si>
    <t>RDDPL/BO/2526/00194
RJPSL/BO/2526/00179
RDDPL/BO/2526/00068</t>
  </si>
  <si>
    <t>RDDPL/IPO/2526/00154
RJPSL/IPO/2526/00143
RDDPL/IPO/2526/00067</t>
  </si>
  <si>
    <t>RDDPL/BO/2526/00183
RJPSL/BO/2526/00064, RJPSL/BO/2526/00065, RJPSL/BO/2526/00066, RJPSL/BO/2526/00184</t>
  </si>
  <si>
    <t>RDDPL/IPO/2526/00155
RJPSL/IPO/2526/00056, RJPSL/IPO/2526/00057, RJPSL/IPO/2526/00058, RJPSL/IPO/2526/00198</t>
  </si>
  <si>
    <t>RDDPL/BO/2526/00191</t>
  </si>
  <si>
    <t>RDDPL/IPO/2526/00152</t>
  </si>
  <si>
    <t>RJPSL/BO/2526/00471
RJPSL/BO/2526/00464
RDDPL/BO/2526/00175
RJPSL/BO/2526/00301
RJPSL/BO/2526/00335
RJPSL/BO/2526/00288</t>
  </si>
  <si>
    <t>RJPSL/IPO/2627/00015
RJPSL/IPO/2526/00347
RDDPL/IPO/2526/00140
RJPSL/IPO/2526/00293
RJPSL/IPO/2526/00238
RJPSL/IPO/2526/00216</t>
  </si>
  <si>
    <t>RJPSL/BO/2526/00500
RJPSL/BO/2526/00495
RJPSL/BO/2526/00417
RJPSL/BO/2526/00364</t>
  </si>
  <si>
    <t>RJPSL/IPO/2627/00016
RJPSL/IPO/2526/00351
RJPSL/IPO/2526/00333
RJPSL/IPO/2526/00301</t>
  </si>
  <si>
    <t xml:space="preserve">RJPDD/BO/2526/00301
RDDPL/BO/2526/00179
RDDPL/BO/2526/00174
RDDPL/BO/2526/00156
RJPSL/BO/2526/00290
RDDPL/BO/2526/00034, RDDPL/BO/2526/00011, RDDPL/BO/2526/00012, RDDPL/BO/2526/00013, RDDPL/BO/2526/00014, RDDPL/BO/2526/00127
RDDPL/BO/2526/00152
</t>
  </si>
  <si>
    <t>RJPDD/BO/2526/00301
RDDPL/IPO/2526/00146
RDDPL/IPO/2526/00135
RDDPL/IPO/2526/00129
RJPSL/IPO/2526/00214
RDDPL/IPO/2526/00020, RDDPL/IPO/2526/00037, RDDPL/IPO/2526/00038, RDDPL/IPO/2526/00039, RDDPL/IPO/2526/00050, RDDPL/IPO/2526/00109
RDDPL/IPO/2526/00117</t>
  </si>
  <si>
    <t>RJPDD/BO/2526/00295
RDDPL/BO/2526/00189
RDDPL/BO/2526/00115
RDDPL/BO/2526/00080
RDDPL/BO/2526/00064</t>
  </si>
  <si>
    <t>RJPDD/LPO/2627/00002
RDDPL/IPO/2526/00143
RDDPL/IPO/2526/00090
RDDPL/IPO/2526/00022
RDDPL/IPO/2526/00058</t>
  </si>
  <si>
    <t>RJPDD/BO/2526/00287
RJPSL/BO/2526/00507
RDDPL/BO/2526/00184</t>
  </si>
  <si>
    <t>RJPDD/LPO/2627/00003
RJPSL/IPO/2627/00014
RDDPL/IPO/2526/00150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</si>
</sst>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5" formatCode="&quot;₹&quot;\ #,##0;&quot;₹&quot;\ \-#,##0"/>
    <numFmt numFmtId="44" formatCode="_ &quot;₹&quot;\ * #,##0.00_ ;_ &quot;₹&quot;\ * \-#,##0.00_ ;_ &quot;₹&quot;\ * &quot;-&quot;??_ ;_ @_ "/>
    <numFmt numFmtId="43" formatCode="_ * #,##0.00_ ;_ * \-#,##0.00_ ;_ * &quot;-&quot;??_ ;_ @_ "/>
    <numFmt numFmtId="164" formatCode="_([$INR]\ * #,##0_);_([$INR]\ * \(#,##0\);_([$INR]\ * &quot;-&quot;??_);_(@_)"/>
    <numFmt numFmtId="165" formatCode="[$USD]\ #,##0_);\([$USD]\ #,##0\)"/>
    <numFmt numFmtId="166" formatCode="[$INR]\ #,##0_);\([$INR]\ #,##0\)"/>
    <numFmt numFmtId="167" formatCode="_ [$₹-4009]\ * #,##0_ ;_ [$₹-4009]\ * \-#,##0_ ;_ [$₹-4009]\ * &quot;-&quot;??_ ;_ @_ "/>
    <numFmt numFmtId="168" formatCode="_ [$₹-4009]\ * #,##0.00_ ;_ [$₹-4009]\ * \-#,##0.00_ ;_ [$₹-4009]\ * &quot;-&quot;??_ ;_ @_ "/>
    <numFmt numFmtId="169" formatCode="_(* #,##0.00_);_(* \(#,##0.00\);_(* &quot;-&quot;??_);_(@_)"/>
    <numFmt numFmtId="170" formatCode="_(* #,##0_);_(* \(#,##0\);_(* &quot;-&quot;??_);_(@_)"/>
    <numFmt numFmtId="171" formatCode="[$USD]\ #,##0.00"/>
    <numFmt numFmtId="172" formatCode="[$USD]\ #,##0.00_);\([$USD]\ #,##0.00\)"/>
    <numFmt numFmtId="173" formatCode="[$INR]\ #,##0.00_);\([$INR]\ #,##0.00\)"/>
    <numFmt numFmtId="174" formatCode="[$USD]\ #,##0"/>
    <numFmt numFmtId="175" formatCode="_([$INR]\ * #,##0.00_);_([$INR]\ * \(#,##0.00\);_([$INR]\ * &quot;-&quot;??_);_(@_)"/>
    <numFmt numFmtId="176" formatCode="&quot;₹&quot;\ #,##0.00"/>
    <numFmt numFmtId="177" formatCode="&quot;₹&quot;\ #,##0"/>
    <numFmt numFmtId="178" formatCode="[$AED]\ #,##0"/>
    <numFmt numFmtId="179" formatCode="[$USD]\ 0.00,,\ &quot;M&quot;"/>
  </numFmts>
  <fonts count="33"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Calibri"/>
      <family val="2"/>
      <scheme val="minor"/>
    </font>
    <font>
      <b/>
      <sz val="12"/>
      <color theme="1"/>
      <name val="Calibri"/>
      <family val="2"/>
      <scheme val="minor"/>
    </font>
    <font>
      <sz val="12"/>
      <name val="Calibri"/>
      <family val="2"/>
      <scheme val="minor"/>
    </font>
    <font>
      <sz val="11"/>
      <name val="Calibri"/>
      <family val="2"/>
      <scheme val="minor"/>
    </font>
    <font>
      <sz val="11"/>
      <name val="Calibri"/>
      <family val="2"/>
    </font>
    <font>
      <sz val="12"/>
      <color theme="1"/>
      <name val="Calibri"/>
      <family val="2"/>
      <scheme val="minor"/>
    </font>
    <font>
      <b/>
      <sz val="11"/>
      <color rgb="FF000000"/>
      <name val="Calibri"/>
      <family val="2"/>
    </font>
    <font>
      <b/>
      <sz val="10"/>
      <name val="Calibri"/>
      <family val="2"/>
      <scheme val="minor"/>
    </font>
    <font>
      <sz val="10"/>
      <name val="Calibri"/>
      <family val="2"/>
      <scheme val="minor"/>
    </font>
    <font>
      <b/>
      <sz val="11"/>
      <name val="Calibri"/>
      <family val="2"/>
      <scheme val="minor"/>
    </font>
    <font>
      <sz val="10"/>
      <color theme="1"/>
      <name val="Calibri"/>
      <family val="2"/>
      <scheme val="minor"/>
    </font>
    <font>
      <b/>
      <sz val="10"/>
      <color theme="1"/>
      <name val="Calibri"/>
      <family val="2"/>
      <scheme val="minor"/>
    </font>
    <font>
      <b/>
      <u/>
      <sz val="12"/>
      <name val="Calibri"/>
      <family val="2"/>
      <scheme val="minor"/>
    </font>
    <font>
      <b/>
      <sz val="14"/>
      <color indexed="10"/>
      <name val="Calibri"/>
      <family val="2"/>
      <scheme val="minor"/>
    </font>
    <font>
      <b/>
      <sz val="14"/>
      <name val="Calibri"/>
      <family val="2"/>
      <scheme val="minor"/>
    </font>
    <font>
      <sz val="14"/>
      <color indexed="10"/>
      <name val="Calibri"/>
      <family val="2"/>
      <scheme val="minor"/>
    </font>
    <font>
      <sz val="14"/>
      <color theme="1"/>
      <name val="Calibri"/>
      <family val="2"/>
      <scheme val="minor"/>
    </font>
    <font>
      <u/>
      <sz val="12"/>
      <name val="Calibri"/>
      <family val="2"/>
      <scheme val="minor"/>
    </font>
    <font>
      <sz val="11"/>
      <color indexed="10"/>
      <name val="Calibri"/>
      <family val="2"/>
    </font>
    <font>
      <sz val="11"/>
      <color indexed="8"/>
      <name val="Calibri"/>
      <family val="2"/>
    </font>
    <font>
      <strike/>
      <sz val="11"/>
      <color theme="1"/>
      <name val="Calibri"/>
      <family val="2"/>
      <scheme val="minor"/>
    </font>
    <font>
      <strike/>
      <sz val="12"/>
      <color theme="1"/>
      <name val="Calibri"/>
      <family val="2"/>
      <scheme val="minor"/>
    </font>
    <font>
      <sz val="11"/>
      <color rgb="FFFF0000"/>
      <name val="Calibri"/>
      <family val="2"/>
      <scheme val="minor"/>
    </font>
    <font>
      <b/>
      <sz val="14"/>
      <color theme="1"/>
      <name val="Calibri"/>
      <family val="2"/>
      <scheme val="minor"/>
    </font>
    <font>
      <b/>
      <sz val="10"/>
      <color rgb="FF000000"/>
      <name val="Calibri"/>
      <family val="2"/>
    </font>
    <font>
      <sz val="10"/>
      <color rgb="FF000000"/>
      <name val="Calibri"/>
      <family val="2"/>
    </font>
    <font>
      <sz val="10"/>
      <name val="Calibri"/>
      <family val="2"/>
    </font>
    <font>
      <b/>
      <sz val="16"/>
      <name val="Calibri"/>
      <family val="2"/>
      <scheme val="minor"/>
    </font>
    <font>
      <b/>
      <sz val="16"/>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rgb="FFFFC000"/>
        <bgColor indexed="64"/>
      </patternFill>
    </fill>
    <fill>
      <patternFill patternType="solid">
        <fgColor rgb="FFB8CBE3"/>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0">
    <xf numFmtId="0" fontId="0" fillId="0" borderId="0"/>
    <xf numFmtId="44" fontId="1" fillId="0" borderId="0" applyFont="0" applyFill="0" applyBorder="0" applyAlignment="0" applyProtection="0"/>
    <xf numFmtId="0" fontId="3" fillId="0" borderId="0"/>
    <xf numFmtId="0" fontId="1" fillId="0" borderId="0"/>
    <xf numFmtId="43" fontId="1" fillId="0" borderId="0" applyFont="0" applyFill="0" applyBorder="0" applyAlignment="0" applyProtection="0"/>
    <xf numFmtId="0" fontId="3" fillId="0" borderId="0"/>
    <xf numFmtId="43"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719">
    <xf numFmtId="0" fontId="0" fillId="0" borderId="0" xfId="0"/>
    <xf numFmtId="0" fontId="6" fillId="3" borderId="2" xfId="2" applyFont="1" applyFill="1" applyBorder="1" applyAlignment="1">
      <alignment horizontal="center" vertical="center"/>
    </xf>
    <xf numFmtId="0" fontId="4" fillId="0" borderId="1" xfId="2" applyFont="1" applyBorder="1" applyAlignment="1">
      <alignment horizontal="center" vertical="center"/>
    </xf>
    <xf numFmtId="0" fontId="12" fillId="3" borderId="1" xfId="2" applyFont="1" applyFill="1" applyBorder="1" applyAlignment="1">
      <alignment horizontal="center" vertical="center"/>
    </xf>
    <xf numFmtId="0" fontId="13" fillId="0" borderId="1" xfId="2" applyFont="1" applyBorder="1" applyAlignment="1">
      <alignment horizontal="center" vertical="center"/>
    </xf>
    <xf numFmtId="0" fontId="12" fillId="2" borderId="1" xfId="2" applyFont="1" applyFill="1" applyBorder="1" applyAlignment="1">
      <alignment horizontal="center" vertical="center"/>
    </xf>
    <xf numFmtId="164" fontId="5" fillId="4" borderId="1" xfId="3" applyNumberFormat="1"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164" fontId="9" fillId="2" borderId="1" xfId="3" applyNumberFormat="1" applyFont="1" applyFill="1" applyBorder="1" applyAlignment="1">
      <alignment horizontal="center" vertical="center"/>
    </xf>
    <xf numFmtId="164" fontId="9" fillId="0" borderId="1" xfId="3" applyNumberFormat="1" applyFont="1" applyBorder="1" applyAlignment="1">
      <alignment horizontal="center" vertical="center"/>
    </xf>
    <xf numFmtId="166" fontId="5" fillId="4" borderId="1" xfId="3" applyNumberFormat="1" applyFont="1" applyFill="1" applyBorder="1" applyAlignment="1">
      <alignment horizontal="center" vertical="center"/>
    </xf>
    <xf numFmtId="0" fontId="1" fillId="0" borderId="1" xfId="3" applyBorder="1" applyAlignment="1">
      <alignment horizontal="center" vertical="center"/>
    </xf>
    <xf numFmtId="0" fontId="6" fillId="0" borderId="1" xfId="2" applyFont="1" applyBorder="1" applyAlignment="1">
      <alignment horizontal="center" vertical="center"/>
    </xf>
    <xf numFmtId="0" fontId="1" fillId="0" borderId="9" xfId="3" applyBorder="1" applyAlignment="1">
      <alignment horizontal="center" vertical="center"/>
    </xf>
    <xf numFmtId="165" fontId="9" fillId="2" borderId="1" xfId="3" applyNumberFormat="1" applyFont="1" applyFill="1" applyBorder="1" applyAlignment="1">
      <alignment horizontal="center" vertical="center"/>
    </xf>
    <xf numFmtId="165" fontId="6" fillId="2" borderId="1" xfId="3" applyNumberFormat="1" applyFont="1" applyFill="1" applyBorder="1" applyAlignment="1">
      <alignment horizontal="center" vertical="center"/>
    </xf>
    <xf numFmtId="165" fontId="9" fillId="0" borderId="1" xfId="3" applyNumberFormat="1" applyFont="1" applyBorder="1" applyAlignment="1">
      <alignment horizontal="center" vertical="center"/>
    </xf>
    <xf numFmtId="0" fontId="4" fillId="3" borderId="6" xfId="2" applyFont="1" applyFill="1" applyBorder="1" applyAlignment="1">
      <alignment horizontal="center" vertical="center"/>
    </xf>
    <xf numFmtId="0" fontId="6" fillId="3" borderId="6" xfId="2" applyFont="1" applyFill="1" applyBorder="1" applyAlignment="1">
      <alignment horizontal="center" vertical="center"/>
    </xf>
    <xf numFmtId="0" fontId="6" fillId="3" borderId="1" xfId="2" applyFont="1" applyFill="1" applyBorder="1" applyAlignment="1">
      <alignment horizontal="center" vertical="center" wrapText="1"/>
    </xf>
    <xf numFmtId="0" fontId="4" fillId="3" borderId="1" xfId="2" applyFont="1" applyFill="1" applyBorder="1" applyAlignment="1">
      <alignment horizontal="center" vertical="center" wrapText="1"/>
    </xf>
    <xf numFmtId="0" fontId="0" fillId="0" borderId="0" xfId="0" applyAlignment="1">
      <alignment wrapText="1"/>
    </xf>
    <xf numFmtId="0" fontId="14" fillId="0" borderId="8" xfId="3" applyFont="1" applyBorder="1" applyAlignment="1">
      <alignment horizontal="left" vertical="center"/>
    </xf>
    <xf numFmtId="0" fontId="11" fillId="2" borderId="6" xfId="2" applyFont="1" applyFill="1" applyBorder="1" applyAlignment="1">
      <alignment horizontal="left" vertical="center"/>
    </xf>
    <xf numFmtId="0" fontId="12" fillId="0" borderId="1" xfId="2" applyFont="1" applyBorder="1" applyAlignment="1">
      <alignment horizontal="left" vertical="center"/>
    </xf>
    <xf numFmtId="0" fontId="12" fillId="0" borderId="9" xfId="2" applyFont="1" applyBorder="1" applyAlignment="1">
      <alignment horizontal="left" vertical="center"/>
    </xf>
    <xf numFmtId="0" fontId="14" fillId="0" borderId="1" xfId="3" applyFont="1" applyBorder="1" applyAlignment="1">
      <alignment horizontal="left" vertical="center"/>
    </xf>
    <xf numFmtId="164" fontId="14" fillId="0" borderId="9" xfId="3" applyNumberFormat="1" applyFont="1" applyBorder="1" applyAlignment="1">
      <alignment horizontal="left" vertical="center"/>
    </xf>
    <xf numFmtId="0" fontId="14" fillId="0" borderId="9" xfId="3" applyFont="1" applyBorder="1" applyAlignment="1">
      <alignment horizontal="left" vertical="center"/>
    </xf>
    <xf numFmtId="164" fontId="14" fillId="0" borderId="1" xfId="3" applyNumberFormat="1" applyFont="1" applyBorder="1" applyAlignment="1">
      <alignment horizontal="left" vertical="center"/>
    </xf>
    <xf numFmtId="0" fontId="12" fillId="0" borderId="1" xfId="2" applyFont="1" applyBorder="1" applyAlignment="1">
      <alignment horizontal="left" vertical="center" wrapText="1"/>
    </xf>
    <xf numFmtId="165" fontId="14" fillId="0" borderId="1" xfId="3" applyNumberFormat="1" applyFont="1" applyBorder="1" applyAlignment="1">
      <alignment horizontal="left" vertical="center"/>
    </xf>
    <xf numFmtId="165" fontId="15" fillId="4" borderId="10" xfId="3" applyNumberFormat="1" applyFont="1" applyFill="1" applyBorder="1" applyAlignment="1">
      <alignment horizontal="left" vertical="center"/>
    </xf>
    <xf numFmtId="164" fontId="15" fillId="4" borderId="10" xfId="3" applyNumberFormat="1" applyFont="1" applyFill="1" applyBorder="1" applyAlignment="1">
      <alignment horizontal="left" vertical="center"/>
    </xf>
    <xf numFmtId="165" fontId="14" fillId="0" borderId="9" xfId="3" applyNumberFormat="1" applyFont="1" applyBorder="1" applyAlignment="1">
      <alignment horizontal="left" vertical="center"/>
    </xf>
    <xf numFmtId="0" fontId="14" fillId="0" borderId="1" xfId="3" applyFont="1" applyBorder="1" applyAlignment="1">
      <alignment horizontal="left" vertical="center" wrapText="1"/>
    </xf>
    <xf numFmtId="0" fontId="4" fillId="2" borderId="1" xfId="2" applyFont="1" applyFill="1" applyBorder="1" applyAlignment="1">
      <alignment horizontal="left" vertical="center" wrapText="1"/>
    </xf>
    <xf numFmtId="0" fontId="7" fillId="2" borderId="1" xfId="2" applyFont="1" applyFill="1" applyBorder="1" applyAlignment="1">
      <alignment horizontal="left" vertical="center" wrapText="1"/>
    </xf>
    <xf numFmtId="165" fontId="0" fillId="0" borderId="1" xfId="3" applyNumberFormat="1" applyFont="1" applyBorder="1" applyAlignment="1">
      <alignment horizontal="left" vertical="center" wrapText="1"/>
    </xf>
    <xf numFmtId="164" fontId="9" fillId="0" borderId="9" xfId="3" applyNumberFormat="1" applyFont="1" applyBorder="1" applyAlignment="1">
      <alignment horizontal="left" vertical="center" wrapText="1"/>
    </xf>
    <xf numFmtId="0" fontId="7" fillId="0" borderId="1" xfId="2" applyFont="1" applyBorder="1" applyAlignment="1">
      <alignment horizontal="left" vertical="center" wrapText="1"/>
    </xf>
    <xf numFmtId="165" fontId="1" fillId="0" borderId="1" xfId="3" applyNumberFormat="1" applyBorder="1" applyAlignment="1">
      <alignment horizontal="left" vertical="center" wrapText="1"/>
    </xf>
    <xf numFmtId="0" fontId="1" fillId="0" borderId="1" xfId="3" applyBorder="1" applyAlignment="1">
      <alignment horizontal="left" vertical="center" wrapText="1"/>
    </xf>
    <xf numFmtId="166" fontId="5" fillId="4" borderId="10" xfId="3" applyNumberFormat="1" applyFont="1"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xf>
    <xf numFmtId="0" fontId="4" fillId="3" borderId="1" xfId="2" applyFont="1" applyFill="1" applyBorder="1" applyAlignment="1">
      <alignment horizontal="left" vertical="center"/>
    </xf>
    <xf numFmtId="0" fontId="6" fillId="0" borderId="1" xfId="2" applyFont="1" applyBorder="1" applyAlignment="1">
      <alignment horizontal="left" vertical="center"/>
    </xf>
    <xf numFmtId="0" fontId="6" fillId="0" borderId="1" xfId="0" applyFont="1" applyBorder="1" applyAlignment="1">
      <alignment horizontal="left" vertical="center" wrapText="1"/>
    </xf>
    <xf numFmtId="171" fontId="14" fillId="0" borderId="1" xfId="3" applyNumberFormat="1" applyFont="1" applyBorder="1" applyAlignment="1">
      <alignment horizontal="left" vertical="center"/>
    </xf>
    <xf numFmtId="164" fontId="4" fillId="4" borderId="1" xfId="3" applyNumberFormat="1" applyFont="1" applyFill="1" applyBorder="1" applyAlignment="1">
      <alignment horizontal="center" vertical="center"/>
    </xf>
    <xf numFmtId="164" fontId="5" fillId="4" borderId="9" xfId="3" applyNumberFormat="1" applyFont="1" applyFill="1" applyBorder="1" applyAlignment="1">
      <alignment horizontal="left" vertical="center" wrapText="1"/>
    </xf>
    <xf numFmtId="174" fontId="0" fillId="0" borderId="0" xfId="0" applyNumberFormat="1" applyAlignment="1">
      <alignment horizontal="center" vertical="center"/>
    </xf>
    <xf numFmtId="174" fontId="0" fillId="0" borderId="1" xfId="0" applyNumberFormat="1" applyBorder="1" applyAlignment="1">
      <alignment horizontal="center" vertical="center"/>
    </xf>
    <xf numFmtId="174" fontId="1" fillId="0" borderId="0" xfId="3" applyNumberFormat="1" applyAlignment="1">
      <alignment horizontal="center" vertical="center"/>
    </xf>
    <xf numFmtId="177" fontId="1" fillId="0" borderId="0" xfId="3" applyNumberFormat="1" applyAlignment="1">
      <alignment horizontal="center" vertical="center"/>
    </xf>
    <xf numFmtId="0" fontId="7" fillId="0" borderId="1" xfId="0" applyFont="1" applyBorder="1" applyAlignment="1">
      <alignment horizontal="left" vertical="center" wrapText="1"/>
    </xf>
    <xf numFmtId="0" fontId="14" fillId="0" borderId="0" xfId="0" applyFont="1" applyAlignment="1">
      <alignment horizontal="center" vertical="center"/>
    </xf>
    <xf numFmtId="174" fontId="14" fillId="0" borderId="1" xfId="0" applyNumberFormat="1" applyFont="1" applyBorder="1" applyAlignment="1">
      <alignment horizontal="center" vertical="center" wrapText="1"/>
    </xf>
    <xf numFmtId="0" fontId="0" fillId="0" borderId="1" xfId="0" applyBorder="1"/>
    <xf numFmtId="165" fontId="7" fillId="2" borderId="0" xfId="3" applyNumberFormat="1" applyFont="1" applyFill="1" applyAlignment="1">
      <alignment horizontal="center" vertical="center"/>
    </xf>
    <xf numFmtId="164" fontId="9" fillId="2" borderId="0" xfId="3" applyNumberFormat="1" applyFont="1" applyFill="1" applyAlignment="1">
      <alignment vertical="center"/>
    </xf>
    <xf numFmtId="164" fontId="9" fillId="0" borderId="0" xfId="3" applyNumberFormat="1" applyFont="1" applyAlignment="1">
      <alignment horizontal="center" vertical="center" wrapText="1"/>
    </xf>
    <xf numFmtId="165" fontId="4" fillId="4" borderId="3" xfId="2" applyNumberFormat="1" applyFont="1" applyFill="1" applyBorder="1" applyAlignment="1">
      <alignment vertical="center"/>
    </xf>
    <xf numFmtId="165" fontId="4" fillId="4" borderId="3" xfId="2" applyNumberFormat="1" applyFont="1" applyFill="1" applyBorder="1" applyAlignment="1">
      <alignment vertical="center" wrapText="1"/>
    </xf>
    <xf numFmtId="174" fontId="4" fillId="4" borderId="3" xfId="2" applyNumberFormat="1" applyFont="1" applyFill="1" applyBorder="1" applyAlignment="1">
      <alignment vertical="center"/>
    </xf>
    <xf numFmtId="165" fontId="15" fillId="0" borderId="1" xfId="3" applyNumberFormat="1" applyFont="1" applyBorder="1" applyAlignment="1">
      <alignment horizontal="left" vertical="center"/>
    </xf>
    <xf numFmtId="164" fontId="15" fillId="0" borderId="9" xfId="3" applyNumberFormat="1" applyFont="1" applyBorder="1" applyAlignment="1">
      <alignment horizontal="left" vertical="center"/>
    </xf>
    <xf numFmtId="0" fontId="0" fillId="2" borderId="0" xfId="0" applyFill="1" applyAlignment="1">
      <alignment horizontal="center" vertical="center"/>
    </xf>
    <xf numFmtId="0" fontId="0" fillId="2" borderId="1" xfId="3" applyFont="1" applyFill="1" applyBorder="1" applyAlignment="1">
      <alignment horizontal="center" vertical="center"/>
    </xf>
    <xf numFmtId="165" fontId="0" fillId="0" borderId="9" xfId="3" applyNumberFormat="1" applyFont="1" applyBorder="1" applyAlignment="1">
      <alignment horizontal="left" vertical="center" wrapText="1"/>
    </xf>
    <xf numFmtId="165" fontId="1" fillId="0" borderId="9" xfId="3" applyNumberFormat="1" applyBorder="1" applyAlignment="1">
      <alignment horizontal="left" vertical="center" wrapText="1"/>
    </xf>
    <xf numFmtId="165" fontId="4" fillId="4" borderId="12" xfId="2" applyNumberFormat="1" applyFont="1" applyFill="1" applyBorder="1" applyAlignment="1">
      <alignment vertical="center" wrapText="1"/>
    </xf>
    <xf numFmtId="0" fontId="0" fillId="0" borderId="0" xfId="0" applyAlignment="1">
      <alignment horizontal="center" wrapText="1"/>
    </xf>
    <xf numFmtId="0" fontId="1" fillId="9" borderId="2" xfId="3" applyFill="1" applyBorder="1" applyAlignment="1">
      <alignment horizontal="center" vertical="center"/>
    </xf>
    <xf numFmtId="0" fontId="4" fillId="9" borderId="3" xfId="2" applyFont="1" applyFill="1" applyBorder="1" applyAlignment="1">
      <alignment horizontal="center" vertical="center"/>
    </xf>
    <xf numFmtId="14" fontId="4" fillId="9" borderId="6" xfId="2" applyNumberFormat="1" applyFont="1" applyFill="1" applyBorder="1" applyAlignment="1">
      <alignment horizontal="center" vertical="center"/>
    </xf>
    <xf numFmtId="0" fontId="4" fillId="9" borderId="5" xfId="2" applyFont="1" applyFill="1" applyBorder="1" applyAlignment="1">
      <alignment horizontal="center" vertical="center"/>
    </xf>
    <xf numFmtId="0" fontId="4" fillId="9" borderId="2" xfId="2" applyFont="1" applyFill="1" applyBorder="1" applyAlignment="1">
      <alignment horizontal="center" vertical="center"/>
    </xf>
    <xf numFmtId="0" fontId="4" fillId="9" borderId="1" xfId="2" applyFont="1" applyFill="1" applyBorder="1" applyAlignment="1">
      <alignment horizontal="center" vertical="center"/>
    </xf>
    <xf numFmtId="0" fontId="4" fillId="9" borderId="1" xfId="2" applyFont="1" applyFill="1" applyBorder="1" applyAlignment="1">
      <alignment horizontal="center" vertical="center" wrapText="1"/>
    </xf>
    <xf numFmtId="0" fontId="12" fillId="0" borderId="1" xfId="2" applyFont="1" applyBorder="1" applyAlignment="1">
      <alignment horizontal="right" vertical="center"/>
    </xf>
    <xf numFmtId="0" fontId="1" fillId="10" borderId="2" xfId="3" applyFill="1" applyBorder="1" applyAlignment="1">
      <alignment horizontal="center" vertical="center"/>
    </xf>
    <xf numFmtId="0" fontId="13" fillId="10" borderId="3" xfId="2" applyFont="1" applyFill="1" applyBorder="1" applyAlignment="1">
      <alignment horizontal="center" vertical="center"/>
    </xf>
    <xf numFmtId="0" fontId="13" fillId="10" borderId="2" xfId="2" applyFont="1" applyFill="1" applyBorder="1" applyAlignment="1">
      <alignment horizontal="center" vertical="center"/>
    </xf>
    <xf numFmtId="172" fontId="4" fillId="9" borderId="16" xfId="3" applyNumberFormat="1" applyFont="1" applyFill="1" applyBorder="1" applyAlignment="1">
      <alignment horizontal="center" vertical="center"/>
    </xf>
    <xf numFmtId="0" fontId="4" fillId="10" borderId="3" xfId="2" applyFont="1" applyFill="1" applyBorder="1" applyAlignment="1">
      <alignment horizontal="center" vertical="center"/>
    </xf>
    <xf numFmtId="173" fontId="4" fillId="9" borderId="33" xfId="3" applyNumberFormat="1" applyFont="1" applyFill="1" applyBorder="1" applyAlignment="1">
      <alignment horizontal="center" vertical="center"/>
    </xf>
    <xf numFmtId="0" fontId="4" fillId="10" borderId="38" xfId="2" applyFont="1" applyFill="1" applyBorder="1" applyAlignment="1">
      <alignment horizontal="center" vertical="center"/>
    </xf>
    <xf numFmtId="0" fontId="4" fillId="10" borderId="40" xfId="2" applyFont="1" applyFill="1" applyBorder="1" applyAlignment="1">
      <alignment horizontal="center" vertical="center"/>
    </xf>
    <xf numFmtId="0" fontId="4" fillId="0" borderId="40" xfId="2" applyFont="1" applyBorder="1" applyAlignment="1">
      <alignment horizontal="center" vertical="center"/>
    </xf>
    <xf numFmtId="0" fontId="6" fillId="3" borderId="36" xfId="2" applyFont="1" applyFill="1" applyBorder="1" applyAlignment="1">
      <alignment horizontal="left" vertical="center"/>
    </xf>
    <xf numFmtId="0" fontId="4" fillId="3" borderId="5" xfId="2" applyFont="1" applyFill="1" applyBorder="1" applyAlignment="1">
      <alignment horizontal="left" vertical="center"/>
    </xf>
    <xf numFmtId="0" fontId="6" fillId="3" borderId="5" xfId="2" applyFont="1" applyFill="1" applyBorder="1" applyAlignment="1">
      <alignment horizontal="left" vertical="center"/>
    </xf>
    <xf numFmtId="0" fontId="6" fillId="3" borderId="33" xfId="2" applyFont="1" applyFill="1" applyBorder="1" applyAlignment="1">
      <alignment horizontal="left" vertical="center"/>
    </xf>
    <xf numFmtId="0" fontId="7" fillId="0" borderId="40" xfId="2" applyFont="1" applyBorder="1" applyAlignment="1">
      <alignment horizontal="left" vertical="center"/>
    </xf>
    <xf numFmtId="165" fontId="1" fillId="0" borderId="1" xfId="3" applyNumberFormat="1" applyBorder="1" applyAlignment="1">
      <alignment horizontal="left" vertical="center"/>
    </xf>
    <xf numFmtId="164" fontId="1" fillId="0" borderId="1" xfId="3" applyNumberFormat="1" applyBorder="1" applyAlignment="1">
      <alignment horizontal="left" vertical="center"/>
    </xf>
    <xf numFmtId="0" fontId="7" fillId="0" borderId="1" xfId="2" applyFont="1" applyBorder="1" applyAlignment="1">
      <alignment horizontal="left" vertical="center"/>
    </xf>
    <xf numFmtId="166" fontId="5" fillId="0" borderId="1" xfId="3" applyNumberFormat="1" applyFont="1" applyBorder="1" applyAlignment="1">
      <alignment horizontal="left" vertical="center"/>
    </xf>
    <xf numFmtId="0" fontId="6" fillId="0" borderId="40" xfId="2" applyFont="1" applyBorder="1" applyAlignment="1">
      <alignment horizontal="left" vertical="center"/>
    </xf>
    <xf numFmtId="0" fontId="21" fillId="0" borderId="1" xfId="2" applyFont="1" applyBorder="1" applyAlignment="1">
      <alignment horizontal="left" vertical="center" wrapText="1"/>
    </xf>
    <xf numFmtId="166" fontId="1" fillId="0" borderId="1" xfId="3" applyNumberFormat="1" applyBorder="1" applyAlignment="1">
      <alignment horizontal="left" vertical="center"/>
    </xf>
    <xf numFmtId="166" fontId="2" fillId="0" borderId="1" xfId="3" applyNumberFormat="1" applyFont="1" applyBorder="1" applyAlignment="1">
      <alignment horizontal="left" vertical="center"/>
    </xf>
    <xf numFmtId="165" fontId="9" fillId="0" borderId="1" xfId="3" applyNumberFormat="1" applyFont="1" applyBorder="1" applyAlignment="1">
      <alignment horizontal="left" vertical="center"/>
    </xf>
    <xf numFmtId="165" fontId="5" fillId="9" borderId="1" xfId="3" applyNumberFormat="1" applyFont="1" applyFill="1" applyBorder="1" applyAlignment="1">
      <alignment horizontal="left" vertical="center"/>
    </xf>
    <xf numFmtId="175" fontId="5" fillId="9" borderId="1" xfId="3" applyNumberFormat="1" applyFont="1" applyFill="1" applyBorder="1" applyAlignment="1">
      <alignment horizontal="left" vertical="center"/>
    </xf>
    <xf numFmtId="166" fontId="5" fillId="9" borderId="1" xfId="3" applyNumberFormat="1" applyFont="1" applyFill="1" applyBorder="1" applyAlignment="1">
      <alignment horizontal="left" vertical="center"/>
    </xf>
    <xf numFmtId="166" fontId="5" fillId="9" borderId="39" xfId="3" applyNumberFormat="1" applyFont="1" applyFill="1" applyBorder="1" applyAlignment="1">
      <alignment horizontal="left" vertical="center"/>
    </xf>
    <xf numFmtId="0" fontId="17" fillId="2" borderId="40" xfId="2" applyFont="1" applyFill="1" applyBorder="1" applyAlignment="1">
      <alignment horizontal="left" vertical="center"/>
    </xf>
    <xf numFmtId="0" fontId="18" fillId="2" borderId="1" xfId="2" applyFont="1" applyFill="1" applyBorder="1" applyAlignment="1">
      <alignment horizontal="left" vertical="center"/>
    </xf>
    <xf numFmtId="169" fontId="17" fillId="2" borderId="1" xfId="2" applyNumberFormat="1" applyFont="1" applyFill="1" applyBorder="1" applyAlignment="1">
      <alignment horizontal="left" vertical="center"/>
    </xf>
    <xf numFmtId="0" fontId="19" fillId="2" borderId="1" xfId="2" applyFont="1" applyFill="1" applyBorder="1" applyAlignment="1">
      <alignment horizontal="left" vertical="center"/>
    </xf>
    <xf numFmtId="0" fontId="20" fillId="0" borderId="1" xfId="3" applyFont="1" applyBorder="1" applyAlignment="1">
      <alignment horizontal="left" vertical="center"/>
    </xf>
    <xf numFmtId="0" fontId="20" fillId="0" borderId="39" xfId="3" applyFont="1" applyBorder="1" applyAlignment="1">
      <alignment horizontal="left" vertical="center"/>
    </xf>
    <xf numFmtId="0" fontId="4" fillId="9" borderId="0" xfId="2" applyFont="1" applyFill="1" applyAlignment="1">
      <alignment horizontal="center" vertical="center"/>
    </xf>
    <xf numFmtId="0" fontId="4" fillId="9" borderId="16" xfId="2" applyFont="1" applyFill="1" applyBorder="1" applyAlignment="1">
      <alignment horizontal="center" vertical="center"/>
    </xf>
    <xf numFmtId="0" fontId="4" fillId="9" borderId="34" xfId="2" applyFont="1" applyFill="1" applyBorder="1" applyAlignment="1">
      <alignment horizontal="center" vertical="center"/>
    </xf>
    <xf numFmtId="0" fontId="4" fillId="9" borderId="10" xfId="2" applyFont="1" applyFill="1" applyBorder="1" applyAlignment="1">
      <alignment horizontal="center" vertical="center"/>
    </xf>
    <xf numFmtId="0" fontId="4" fillId="9" borderId="36" xfId="2" applyFont="1" applyFill="1" applyBorder="1" applyAlignment="1">
      <alignment horizontal="center" vertical="center"/>
    </xf>
    <xf numFmtId="0" fontId="4" fillId="9" borderId="9" xfId="2" applyFont="1" applyFill="1" applyBorder="1" applyAlignment="1">
      <alignment horizontal="center" vertical="center"/>
    </xf>
    <xf numFmtId="0" fontId="4" fillId="9" borderId="37" xfId="2" applyFont="1" applyFill="1" applyBorder="1" applyAlignment="1">
      <alignment horizontal="center" vertical="center"/>
    </xf>
    <xf numFmtId="0" fontId="5" fillId="10" borderId="1" xfId="3" applyFont="1" applyFill="1" applyBorder="1" applyAlignment="1">
      <alignment horizontal="center" vertical="center"/>
    </xf>
    <xf numFmtId="0" fontId="7" fillId="0" borderId="1" xfId="0" applyFont="1" applyBorder="1" applyAlignment="1">
      <alignment horizontal="left" vertical="center" wrapText="1" indent="1"/>
    </xf>
    <xf numFmtId="0" fontId="6" fillId="9" borderId="40" xfId="2" quotePrefix="1" applyFont="1" applyFill="1" applyBorder="1" applyAlignment="1">
      <alignment horizontal="left" vertical="center"/>
    </xf>
    <xf numFmtId="0" fontId="16" fillId="9" borderId="1" xfId="2" applyFont="1" applyFill="1" applyBorder="1" applyAlignment="1">
      <alignment horizontal="left" vertical="center"/>
    </xf>
    <xf numFmtId="0" fontId="6" fillId="9" borderId="40" xfId="2" applyFont="1" applyFill="1" applyBorder="1" applyAlignment="1">
      <alignment horizontal="left" vertical="center"/>
    </xf>
    <xf numFmtId="166" fontId="9" fillId="9" borderId="39" xfId="3" applyNumberFormat="1" applyFont="1" applyFill="1" applyBorder="1" applyAlignment="1">
      <alignment horizontal="left" vertical="center"/>
    </xf>
    <xf numFmtId="0" fontId="9" fillId="9" borderId="1" xfId="3" applyFont="1" applyFill="1" applyBorder="1" applyAlignment="1">
      <alignment horizontal="left" vertical="center"/>
    </xf>
    <xf numFmtId="0" fontId="9" fillId="9" borderId="39" xfId="3" applyFont="1" applyFill="1" applyBorder="1" applyAlignment="1">
      <alignment horizontal="left" vertical="center"/>
    </xf>
    <xf numFmtId="165" fontId="27" fillId="11" borderId="1" xfId="3" applyNumberFormat="1" applyFont="1" applyFill="1" applyBorder="1" applyAlignment="1">
      <alignment horizontal="center" vertical="center"/>
    </xf>
    <xf numFmtId="175" fontId="27" fillId="11" borderId="1" xfId="3" applyNumberFormat="1" applyFont="1" applyFill="1" applyBorder="1" applyAlignment="1">
      <alignment horizontal="center" vertical="center"/>
    </xf>
    <xf numFmtId="166" fontId="27" fillId="11" borderId="1" xfId="3" applyNumberFormat="1" applyFont="1" applyFill="1" applyBorder="1" applyAlignment="1">
      <alignment horizontal="center" vertical="center"/>
    </xf>
    <xf numFmtId="166" fontId="27" fillId="11" borderId="39" xfId="3" applyNumberFormat="1" applyFont="1" applyFill="1" applyBorder="1" applyAlignment="1">
      <alignment horizontal="center" vertical="center"/>
    </xf>
    <xf numFmtId="169" fontId="17" fillId="2" borderId="41" xfId="2" applyNumberFormat="1" applyFont="1" applyFill="1" applyBorder="1" applyAlignment="1">
      <alignment horizontal="left" vertical="center"/>
    </xf>
    <xf numFmtId="0" fontId="1" fillId="0" borderId="0" xfId="3" applyAlignment="1">
      <alignment vertical="center"/>
    </xf>
    <xf numFmtId="0" fontId="1" fillId="9" borderId="32" xfId="3" applyFill="1" applyBorder="1" applyAlignment="1">
      <alignment horizontal="center" vertical="center"/>
    </xf>
    <xf numFmtId="0" fontId="1" fillId="0" borderId="0" xfId="3" applyAlignment="1">
      <alignment horizontal="center" vertical="center"/>
    </xf>
    <xf numFmtId="0" fontId="1" fillId="9" borderId="35" xfId="3" applyFill="1" applyBorder="1" applyAlignment="1">
      <alignment horizontal="center" vertical="center"/>
    </xf>
    <xf numFmtId="0" fontId="1" fillId="0" borderId="0" xfId="3" applyAlignment="1">
      <alignment horizontal="left" vertical="center"/>
    </xf>
    <xf numFmtId="0" fontId="2" fillId="0" borderId="0" xfId="3" applyFont="1" applyAlignment="1">
      <alignment horizontal="center" vertical="center"/>
    </xf>
    <xf numFmtId="169" fontId="17" fillId="2" borderId="41" xfId="2" applyNumberFormat="1" applyFont="1" applyFill="1" applyBorder="1" applyAlignment="1">
      <alignment vertical="center"/>
    </xf>
    <xf numFmtId="0" fontId="20" fillId="0" borderId="41" xfId="3" applyFont="1" applyBorder="1" applyAlignment="1">
      <alignment vertical="center"/>
    </xf>
    <xf numFmtId="0" fontId="20" fillId="0" borderId="42" xfId="3" applyFont="1" applyBorder="1" applyAlignment="1">
      <alignment vertical="center"/>
    </xf>
    <xf numFmtId="165" fontId="1" fillId="0" borderId="0" xfId="3" applyNumberFormat="1" applyAlignment="1">
      <alignment vertical="center"/>
    </xf>
    <xf numFmtId="0" fontId="0" fillId="0" borderId="0" xfId="0" applyAlignment="1">
      <alignment vertical="center"/>
    </xf>
    <xf numFmtId="0" fontId="28" fillId="6" borderId="1" xfId="0" applyFont="1" applyFill="1" applyBorder="1" applyAlignment="1">
      <alignment horizontal="left" vertical="center"/>
    </xf>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0" fontId="29" fillId="0" borderId="1" xfId="0" applyFont="1" applyBorder="1" applyAlignment="1">
      <alignment horizontal="left" vertical="center"/>
    </xf>
    <xf numFmtId="0" fontId="14" fillId="0" borderId="0" xfId="0" applyFont="1" applyAlignment="1">
      <alignment horizontal="left"/>
    </xf>
    <xf numFmtId="49" fontId="28" fillId="5" borderId="7" xfId="0" applyNumberFormat="1" applyFont="1" applyFill="1" applyBorder="1" applyAlignment="1">
      <alignment horizontal="left" vertical="center"/>
    </xf>
    <xf numFmtId="0" fontId="28" fillId="6" borderId="2" xfId="0" applyFont="1" applyFill="1" applyBorder="1" applyAlignment="1">
      <alignment horizontal="left" vertical="center"/>
    </xf>
    <xf numFmtId="171" fontId="29" fillId="0" borderId="1" xfId="0" applyNumberFormat="1" applyFont="1" applyBorder="1" applyAlignment="1">
      <alignment horizontal="left" vertical="center"/>
    </xf>
    <xf numFmtId="167" fontId="29" fillId="0" borderId="1" xfId="1" applyNumberFormat="1" applyFont="1" applyFill="1" applyBorder="1" applyAlignment="1">
      <alignment horizontal="left" vertical="center"/>
    </xf>
    <xf numFmtId="2" fontId="29" fillId="0" borderId="1" xfId="0" applyNumberFormat="1" applyFont="1" applyBorder="1" applyAlignment="1">
      <alignment horizontal="left" vertical="center"/>
    </xf>
    <xf numFmtId="174" fontId="29" fillId="0" borderId="1" xfId="0" applyNumberFormat="1" applyFont="1" applyBorder="1" applyAlignment="1">
      <alignment horizontal="left" vertical="center"/>
    </xf>
    <xf numFmtId="167" fontId="29" fillId="0" borderId="1" xfId="1" applyNumberFormat="1" applyFont="1" applyBorder="1" applyAlignment="1">
      <alignment horizontal="left" vertical="center"/>
    </xf>
    <xf numFmtId="168" fontId="14" fillId="0" borderId="1" xfId="0" applyNumberFormat="1" applyFont="1" applyBorder="1" applyAlignment="1">
      <alignment horizontal="left" vertical="center" wrapText="1"/>
    </xf>
    <xf numFmtId="0" fontId="14" fillId="0" borderId="2" xfId="0" applyFont="1" applyBorder="1" applyAlignment="1">
      <alignment horizontal="left" vertical="center"/>
    </xf>
    <xf numFmtId="174" fontId="29" fillId="0" borderId="3" xfId="0" applyNumberFormat="1" applyFont="1" applyBorder="1" applyAlignment="1">
      <alignment horizontal="left" vertical="center"/>
    </xf>
    <xf numFmtId="174" fontId="15" fillId="0" borderId="1" xfId="0" applyNumberFormat="1" applyFont="1" applyBorder="1" applyAlignment="1">
      <alignment horizontal="left" vertical="center"/>
    </xf>
    <xf numFmtId="171" fontId="15" fillId="0" borderId="3" xfId="0" applyNumberFormat="1" applyFont="1" applyBorder="1" applyAlignment="1">
      <alignment horizontal="left" vertical="center"/>
    </xf>
    <xf numFmtId="167" fontId="15" fillId="0" borderId="1" xfId="0" applyNumberFormat="1" applyFont="1" applyBorder="1" applyAlignment="1">
      <alignment horizontal="left" vertical="center"/>
    </xf>
    <xf numFmtId="2" fontId="14" fillId="0" borderId="1" xfId="0" applyNumberFormat="1" applyFont="1" applyBorder="1" applyAlignment="1">
      <alignment horizontal="left" vertical="center"/>
    </xf>
    <xf numFmtId="0" fontId="28" fillId="6" borderId="4" xfId="0" applyFont="1" applyFill="1" applyBorder="1" applyAlignment="1">
      <alignment horizontal="left" vertical="center"/>
    </xf>
    <xf numFmtId="2" fontId="28" fillId="7" borderId="1" xfId="0" applyNumberFormat="1" applyFont="1" applyFill="1" applyBorder="1" applyAlignment="1">
      <alignment horizontal="left" vertical="center" wrapText="1"/>
    </xf>
    <xf numFmtId="0" fontId="29" fillId="0" borderId="2" xfId="0" applyFont="1" applyBorder="1" applyAlignment="1">
      <alignment horizontal="left" vertical="center"/>
    </xf>
    <xf numFmtId="176" fontId="29" fillId="0" borderId="1" xfId="0" applyNumberFormat="1" applyFont="1" applyBorder="1" applyAlignment="1">
      <alignment horizontal="left" vertical="center"/>
    </xf>
    <xf numFmtId="171" fontId="30" fillId="0" borderId="1" xfId="0" applyNumberFormat="1" applyFont="1" applyBorder="1" applyAlignment="1">
      <alignment horizontal="left" vertical="center"/>
    </xf>
    <xf numFmtId="2" fontId="12" fillId="2" borderId="1" xfId="0" applyNumberFormat="1" applyFont="1" applyFill="1" applyBorder="1" applyAlignment="1">
      <alignment horizontal="left" vertical="center" wrapText="1"/>
    </xf>
    <xf numFmtId="171" fontId="15" fillId="0" borderId="10" xfId="0" applyNumberFormat="1" applyFont="1" applyBorder="1" applyAlignment="1">
      <alignment horizontal="left" vertical="center"/>
    </xf>
    <xf numFmtId="171" fontId="15" fillId="0" borderId="17" xfId="0" applyNumberFormat="1" applyFont="1" applyBorder="1" applyAlignment="1">
      <alignment horizontal="left" vertical="center"/>
    </xf>
    <xf numFmtId="176" fontId="15" fillId="0" borderId="10" xfId="0" applyNumberFormat="1" applyFont="1" applyBorder="1" applyAlignment="1">
      <alignment horizontal="left" vertical="center"/>
    </xf>
    <xf numFmtId="171" fontId="15" fillId="0" borderId="13" xfId="0" applyNumberFormat="1" applyFont="1" applyBorder="1" applyAlignment="1">
      <alignment horizontal="left" vertical="center"/>
    </xf>
    <xf numFmtId="174" fontId="15" fillId="0" borderId="15" xfId="0" applyNumberFormat="1" applyFont="1" applyBorder="1" applyAlignment="1">
      <alignment horizontal="left" vertical="center"/>
    </xf>
    <xf numFmtId="0" fontId="18" fillId="0" borderId="39" xfId="0" applyFont="1" applyBorder="1" applyAlignment="1">
      <alignment horizontal="center" vertical="center" wrapText="1"/>
    </xf>
    <xf numFmtId="49" fontId="18" fillId="0" borderId="39" xfId="0" applyNumberFormat="1" applyFont="1" applyBorder="1" applyAlignment="1">
      <alignment horizontal="center" vertical="center" wrapText="1"/>
    </xf>
    <xf numFmtId="166" fontId="27" fillId="0" borderId="39" xfId="3" applyNumberFormat="1" applyFont="1" applyBorder="1" applyAlignment="1">
      <alignment horizontal="center" vertical="center"/>
    </xf>
    <xf numFmtId="0" fontId="18" fillId="10" borderId="39" xfId="2" applyFont="1" applyFill="1" applyBorder="1" applyAlignment="1">
      <alignment horizontal="center" vertical="center"/>
    </xf>
    <xf numFmtId="168" fontId="14" fillId="0" borderId="1" xfId="0" applyNumberFormat="1" applyFont="1" applyBorder="1" applyAlignment="1">
      <alignment vertical="center" wrapText="1"/>
    </xf>
    <xf numFmtId="0" fontId="30" fillId="0" borderId="1" xfId="0" applyFont="1" applyBorder="1" applyAlignment="1">
      <alignment horizontal="left" vertical="center"/>
    </xf>
    <xf numFmtId="0" fontId="13" fillId="10" borderId="1" xfId="2" applyFont="1" applyFill="1" applyBorder="1" applyAlignment="1">
      <alignment horizontal="center" vertical="center"/>
    </xf>
    <xf numFmtId="164" fontId="14" fillId="0" borderId="9" xfId="3" applyNumberFormat="1" applyFont="1" applyBorder="1" applyAlignment="1">
      <alignment horizontal="left" vertical="center" wrapText="1"/>
    </xf>
    <xf numFmtId="0" fontId="5" fillId="9" borderId="5" xfId="3" applyFont="1" applyFill="1" applyBorder="1" applyAlignment="1">
      <alignment horizontal="center" vertical="center" wrapText="1"/>
    </xf>
    <xf numFmtId="0" fontId="5" fillId="9" borderId="9" xfId="3" applyFont="1" applyFill="1" applyBorder="1" applyAlignment="1">
      <alignment horizontal="center" vertical="center" wrapText="1"/>
    </xf>
    <xf numFmtId="0" fontId="9" fillId="0" borderId="0" xfId="0" applyFont="1"/>
    <xf numFmtId="0" fontId="6" fillId="3" borderId="1" xfId="2" applyFont="1" applyFill="1" applyBorder="1" applyAlignment="1">
      <alignment horizontal="center" vertical="center"/>
    </xf>
    <xf numFmtId="0" fontId="12" fillId="2" borderId="1" xfId="2" applyFont="1" applyFill="1" applyBorder="1" applyAlignment="1">
      <alignment horizontal="left" vertical="center"/>
    </xf>
    <xf numFmtId="174" fontId="1" fillId="0" borderId="1" xfId="3" applyNumberFormat="1" applyBorder="1" applyAlignment="1">
      <alignment horizontal="left" vertical="center"/>
    </xf>
    <xf numFmtId="177" fontId="1" fillId="0" borderId="1" xfId="3" applyNumberFormat="1" applyBorder="1" applyAlignment="1">
      <alignment horizontal="left" vertical="center"/>
    </xf>
    <xf numFmtId="0" fontId="0" fillId="0" borderId="1" xfId="3" applyFont="1" applyBorder="1" applyAlignment="1">
      <alignment horizontal="left" vertical="center" wrapText="1"/>
    </xf>
    <xf numFmtId="0" fontId="0" fillId="0" borderId="1" xfId="3" applyFont="1" applyBorder="1" applyAlignment="1">
      <alignment horizontal="left" vertical="center"/>
    </xf>
    <xf numFmtId="0" fontId="0" fillId="0" borderId="10" xfId="0" applyBorder="1" applyAlignment="1">
      <alignment horizontal="left" vertical="center" wrapText="1" indent="1"/>
    </xf>
    <xf numFmtId="0" fontId="0" fillId="0" borderId="1" xfId="0" applyBorder="1" applyAlignment="1">
      <alignment horizontal="left" vertical="center" wrapText="1" indent="1"/>
    </xf>
    <xf numFmtId="0" fontId="0" fillId="0" borderId="5" xfId="0" applyBorder="1" applyAlignment="1">
      <alignment horizontal="left" vertical="center" wrapText="1" indent="1"/>
    </xf>
    <xf numFmtId="0" fontId="24" fillId="0" borderId="1" xfId="0" applyFont="1" applyBorder="1" applyAlignment="1">
      <alignment horizontal="left" vertical="center" wrapText="1" indent="1"/>
    </xf>
    <xf numFmtId="0" fontId="0" fillId="0" borderId="0" xfId="0" applyAlignment="1">
      <alignment horizontal="left" vertical="center" wrapText="1" indent="1"/>
    </xf>
    <xf numFmtId="0" fontId="0" fillId="0" borderId="0" xfId="0" applyAlignment="1">
      <alignment horizontal="left" indent="1"/>
    </xf>
    <xf numFmtId="0" fontId="0" fillId="0" borderId="1" xfId="0" applyFill="1" applyBorder="1" applyAlignment="1">
      <alignment horizontal="left" vertical="center" wrapText="1"/>
    </xf>
    <xf numFmtId="0" fontId="29" fillId="0" borderId="1" xfId="0" applyFont="1" applyFill="1" applyBorder="1" applyAlignment="1">
      <alignment horizontal="left" vertical="center"/>
    </xf>
    <xf numFmtId="0" fontId="2" fillId="0" borderId="1" xfId="0" applyFont="1" applyBorder="1" applyAlignment="1">
      <alignment horizontal="left" vertical="center" indent="1"/>
    </xf>
    <xf numFmtId="0" fontId="0" fillId="0" borderId="1" xfId="0" applyBorder="1" applyAlignment="1">
      <alignment horizontal="left" vertical="center" indent="1"/>
    </xf>
    <xf numFmtId="176" fontId="0" fillId="0" borderId="1" xfId="0" applyNumberFormat="1" applyBorder="1" applyAlignment="1">
      <alignment horizontal="center" vertical="center"/>
    </xf>
    <xf numFmtId="174" fontId="2" fillId="0" borderId="1" xfId="0" applyNumberFormat="1" applyFont="1" applyBorder="1" applyAlignment="1">
      <alignment horizontal="center" vertical="center"/>
    </xf>
    <xf numFmtId="176" fontId="2" fillId="0" borderId="1" xfId="0" applyNumberFormat="1" applyFont="1" applyBorder="1" applyAlignment="1">
      <alignment horizontal="center" vertical="center"/>
    </xf>
    <xf numFmtId="176" fontId="0" fillId="0" borderId="0" xfId="0" applyNumberFormat="1" applyAlignment="1">
      <alignment horizontal="center" vertical="center"/>
    </xf>
    <xf numFmtId="0" fontId="0" fillId="0" borderId="0" xfId="0" applyAlignment="1">
      <alignment horizontal="left" vertical="center" indent="1"/>
    </xf>
    <xf numFmtId="0" fontId="15" fillId="9" borderId="9" xfId="0" applyFont="1" applyFill="1" applyBorder="1" applyAlignment="1">
      <alignment horizontal="center" vertical="center"/>
    </xf>
    <xf numFmtId="0" fontId="2" fillId="9" borderId="9" xfId="0" applyFont="1" applyFill="1" applyBorder="1" applyAlignment="1">
      <alignment horizontal="center" vertical="center"/>
    </xf>
    <xf numFmtId="0" fontId="2" fillId="9" borderId="9" xfId="0" applyFont="1" applyFill="1" applyBorder="1" applyAlignment="1">
      <alignment horizontal="left" vertical="center" wrapText="1" indent="1"/>
    </xf>
    <xf numFmtId="0" fontId="2" fillId="9" borderId="9" xfId="0" applyFont="1" applyFill="1" applyBorder="1" applyAlignment="1">
      <alignment horizontal="left" vertical="center" indent="1"/>
    </xf>
    <xf numFmtId="0" fontId="7" fillId="0" borderId="1" xfId="0" applyFont="1" applyFill="1" applyBorder="1" applyAlignment="1">
      <alignment horizontal="left" vertical="center" wrapText="1" indent="1"/>
    </xf>
    <xf numFmtId="174" fontId="0" fillId="0" borderId="1" xfId="0" applyNumberFormat="1" applyFill="1" applyBorder="1" applyAlignment="1">
      <alignment horizontal="left" vertical="center" wrapText="1" indent="1"/>
    </xf>
    <xf numFmtId="177" fontId="0" fillId="0" borderId="1" xfId="0" applyNumberFormat="1" applyFill="1" applyBorder="1" applyAlignment="1">
      <alignment horizontal="left" vertical="center" wrapText="1" indent="1"/>
    </xf>
    <xf numFmtId="1" fontId="14" fillId="0" borderId="1" xfId="0" applyNumberFormat="1" applyFont="1" applyFill="1" applyBorder="1" applyAlignment="1">
      <alignment horizontal="left" vertical="center" wrapText="1" indent="1"/>
    </xf>
    <xf numFmtId="0" fontId="0" fillId="0" borderId="1" xfId="0" applyFill="1" applyBorder="1" applyAlignment="1">
      <alignment horizontal="left" vertical="center" wrapText="1" indent="1"/>
    </xf>
    <xf numFmtId="174" fontId="7" fillId="0" borderId="1" xfId="0" applyNumberFormat="1" applyFont="1" applyFill="1" applyBorder="1" applyAlignment="1">
      <alignment horizontal="left" vertical="center" wrapText="1" indent="1"/>
    </xf>
    <xf numFmtId="174" fontId="7" fillId="0" borderId="1" xfId="3" applyNumberFormat="1" applyFont="1" applyFill="1" applyBorder="1" applyAlignment="1">
      <alignment horizontal="left" vertical="center" indent="1"/>
    </xf>
    <xf numFmtId="164" fontId="9" fillId="0" borderId="1" xfId="3" applyNumberFormat="1" applyFont="1" applyFill="1" applyBorder="1" applyAlignment="1">
      <alignment horizontal="left" vertical="center" wrapText="1" indent="1"/>
    </xf>
    <xf numFmtId="174" fontId="0" fillId="0" borderId="1" xfId="0" applyNumberFormat="1" applyFill="1" applyBorder="1" applyAlignment="1">
      <alignment horizontal="left" vertical="center" indent="1"/>
    </xf>
    <xf numFmtId="0" fontId="0" fillId="0" borderId="1" xfId="0" applyFill="1" applyBorder="1" applyAlignment="1">
      <alignment horizontal="left" vertical="center" indent="1"/>
    </xf>
    <xf numFmtId="174" fontId="0" fillId="0" borderId="0" xfId="0" applyNumberFormat="1" applyFill="1" applyAlignment="1">
      <alignment horizontal="left" vertical="center" indent="1"/>
    </xf>
    <xf numFmtId="174" fontId="2" fillId="9" borderId="1" xfId="3" applyNumberFormat="1" applyFont="1" applyFill="1" applyBorder="1" applyAlignment="1">
      <alignment horizontal="left" vertical="center" indent="1"/>
    </xf>
    <xf numFmtId="164" fontId="2" fillId="9" borderId="1" xfId="3" applyNumberFormat="1" applyFont="1" applyFill="1" applyBorder="1" applyAlignment="1">
      <alignment horizontal="left" vertical="center" indent="1"/>
    </xf>
    <xf numFmtId="174" fontId="2" fillId="0" borderId="0" xfId="0" applyNumberFormat="1" applyFont="1" applyAlignment="1">
      <alignment horizontal="left" vertical="center" indent="1"/>
    </xf>
    <xf numFmtId="0" fontId="2" fillId="0" borderId="0" xfId="0" applyFont="1" applyAlignment="1">
      <alignment horizontal="left" vertical="center" indent="1"/>
    </xf>
    <xf numFmtId="0" fontId="2" fillId="0" borderId="0" xfId="0" applyFont="1" applyAlignment="1">
      <alignment horizontal="left" vertical="center" wrapText="1" indent="1"/>
    </xf>
    <xf numFmtId="174" fontId="2" fillId="0" borderId="0" xfId="3" applyNumberFormat="1" applyFont="1" applyAlignment="1">
      <alignment horizontal="left" vertical="center" indent="1"/>
    </xf>
    <xf numFmtId="164" fontId="5" fillId="0" borderId="0" xfId="3" applyNumberFormat="1" applyFont="1" applyAlignment="1">
      <alignment horizontal="left" vertical="center" indent="1"/>
    </xf>
    <xf numFmtId="174" fontId="0" fillId="0" borderId="0" xfId="0" applyNumberFormat="1" applyAlignment="1">
      <alignment horizontal="left" indent="1"/>
    </xf>
    <xf numFmtId="0" fontId="15" fillId="9" borderId="9" xfId="0" applyFont="1" applyFill="1" applyBorder="1" applyAlignment="1">
      <alignment horizontal="left" vertical="center" wrapText="1" indent="1"/>
    </xf>
    <xf numFmtId="174" fontId="15" fillId="9" borderId="9" xfId="0" applyNumberFormat="1" applyFont="1" applyFill="1" applyBorder="1" applyAlignment="1">
      <alignment horizontal="left" vertical="center" wrapText="1" indent="1"/>
    </xf>
    <xf numFmtId="0" fontId="2" fillId="12" borderId="2" xfId="0" applyFont="1" applyFill="1" applyBorder="1" applyAlignment="1">
      <alignment horizontal="left" vertical="center" indent="1"/>
    </xf>
    <xf numFmtId="0" fontId="15" fillId="9" borderId="1" xfId="0" applyFont="1" applyFill="1" applyBorder="1" applyAlignment="1">
      <alignment horizontal="left" vertical="center" indent="1"/>
    </xf>
    <xf numFmtId="0" fontId="14" fillId="0" borderId="1" xfId="0" applyFont="1" applyFill="1" applyBorder="1" applyAlignment="1">
      <alignment horizontal="left" vertical="center" indent="1"/>
    </xf>
    <xf numFmtId="174" fontId="15" fillId="9" borderId="9" xfId="0" applyNumberFormat="1" applyFont="1" applyFill="1" applyBorder="1" applyAlignment="1">
      <alignment horizontal="center" vertical="center" wrapText="1"/>
    </xf>
    <xf numFmtId="0" fontId="2" fillId="9" borderId="1" xfId="0" applyFont="1" applyFill="1" applyBorder="1" applyAlignment="1">
      <alignment horizontal="center" vertical="center"/>
    </xf>
    <xf numFmtId="0" fontId="2" fillId="9" borderId="1" xfId="0" applyFont="1" applyFill="1" applyBorder="1" applyAlignment="1">
      <alignment horizontal="center" vertical="center" wrapText="1"/>
    </xf>
    <xf numFmtId="174" fontId="2" fillId="9" borderId="1" xfId="0" applyNumberFormat="1" applyFont="1" applyFill="1" applyBorder="1" applyAlignment="1">
      <alignment horizontal="center" vertical="center" wrapText="1"/>
    </xf>
    <xf numFmtId="0" fontId="4" fillId="9" borderId="9" xfId="2" applyFont="1" applyFill="1" applyBorder="1" applyAlignment="1">
      <alignment horizontal="left" vertical="center" indent="1"/>
    </xf>
    <xf numFmtId="174" fontId="0" fillId="9" borderId="9" xfId="0" applyNumberFormat="1" applyFill="1" applyBorder="1" applyAlignment="1">
      <alignment horizontal="left" vertical="center" indent="1"/>
    </xf>
    <xf numFmtId="0" fontId="2" fillId="9" borderId="1" xfId="0" applyFont="1" applyFill="1" applyBorder="1" applyAlignment="1">
      <alignment horizontal="left" vertical="center" indent="1"/>
    </xf>
    <xf numFmtId="0" fontId="2" fillId="9" borderId="1" xfId="0" applyFont="1" applyFill="1" applyBorder="1" applyAlignment="1">
      <alignment horizontal="left" vertical="center" wrapText="1" indent="1"/>
    </xf>
    <xf numFmtId="174" fontId="2" fillId="9" borderId="1" xfId="0" applyNumberFormat="1" applyFont="1" applyFill="1" applyBorder="1" applyAlignment="1">
      <alignment horizontal="left" vertical="center" wrapText="1" indent="1"/>
    </xf>
    <xf numFmtId="174" fontId="1" fillId="0" borderId="1" xfId="4" applyNumberFormat="1" applyFont="1" applyBorder="1" applyAlignment="1">
      <alignment horizontal="left" vertical="center" wrapText="1" indent="1"/>
    </xf>
    <xf numFmtId="5" fontId="1" fillId="0" borderId="1" xfId="4" applyNumberFormat="1" applyFont="1" applyBorder="1" applyAlignment="1">
      <alignment horizontal="left" vertical="center" wrapText="1" indent="1"/>
    </xf>
    <xf numFmtId="174" fontId="0" fillId="0" borderId="1" xfId="0" applyNumberFormat="1" applyBorder="1" applyAlignment="1">
      <alignment horizontal="left" vertical="center" indent="1"/>
    </xf>
    <xf numFmtId="174" fontId="0" fillId="2" borderId="0" xfId="0" applyNumberFormat="1" applyFill="1" applyAlignment="1">
      <alignment horizontal="left" vertical="center" indent="1"/>
    </xf>
    <xf numFmtId="0" fontId="0" fillId="0" borderId="1" xfId="1" applyNumberFormat="1" applyFont="1" applyBorder="1" applyAlignment="1">
      <alignment horizontal="left" vertical="center" indent="1"/>
    </xf>
    <xf numFmtId="0" fontId="24" fillId="0" borderId="1" xfId="1" applyNumberFormat="1" applyFont="1" applyBorder="1" applyAlignment="1">
      <alignment horizontal="left" vertical="center" wrapText="1" indent="1"/>
    </xf>
    <xf numFmtId="0" fontId="24" fillId="0" borderId="1" xfId="1" applyNumberFormat="1" applyFont="1" applyBorder="1" applyAlignment="1">
      <alignment horizontal="left" vertical="center" indent="1"/>
    </xf>
    <xf numFmtId="174" fontId="0" fillId="0" borderId="0" xfId="0" applyNumberFormat="1" applyAlignment="1">
      <alignment horizontal="left" vertical="center" indent="1"/>
    </xf>
    <xf numFmtId="174" fontId="1" fillId="2" borderId="1" xfId="4" applyNumberFormat="1" applyFont="1" applyFill="1" applyBorder="1" applyAlignment="1">
      <alignment horizontal="left" vertical="center" wrapText="1" indent="1"/>
    </xf>
    <xf numFmtId="174" fontId="1" fillId="0" borderId="1" xfId="4" applyNumberFormat="1" applyFont="1" applyFill="1" applyBorder="1" applyAlignment="1">
      <alignment horizontal="left" vertical="center" wrapText="1" indent="1"/>
    </xf>
    <xf numFmtId="174" fontId="7" fillId="0" borderId="1" xfId="0" applyNumberFormat="1" applyFont="1" applyBorder="1" applyAlignment="1">
      <alignment horizontal="left" vertical="center" indent="1"/>
    </xf>
    <xf numFmtId="174" fontId="7" fillId="0" borderId="1" xfId="4" applyNumberFormat="1" applyFont="1" applyBorder="1" applyAlignment="1">
      <alignment horizontal="left" vertical="center" wrapText="1" indent="1"/>
    </xf>
    <xf numFmtId="174" fontId="0" fillId="0" borderId="5" xfId="0" applyNumberFormat="1" applyBorder="1" applyAlignment="1">
      <alignment horizontal="left" vertical="center" indent="1"/>
    </xf>
    <xf numFmtId="165" fontId="1" fillId="2" borderId="1" xfId="3" applyNumberFormat="1" applyFill="1" applyBorder="1" applyAlignment="1">
      <alignment horizontal="left" vertical="center" indent="1"/>
    </xf>
    <xf numFmtId="174" fontId="2" fillId="0" borderId="3" xfId="0" applyNumberFormat="1" applyFont="1" applyBorder="1" applyAlignment="1">
      <alignment horizontal="left" vertical="center" indent="1"/>
    </xf>
    <xf numFmtId="164" fontId="5" fillId="0" borderId="1" xfId="3" applyNumberFormat="1" applyFont="1" applyBorder="1" applyAlignment="1">
      <alignment horizontal="left" vertical="center" indent="1"/>
    </xf>
    <xf numFmtId="0" fontId="0" fillId="0" borderId="1" xfId="0" applyBorder="1" applyAlignment="1">
      <alignment horizontal="left" vertical="center" wrapText="1" indent="2"/>
    </xf>
    <xf numFmtId="174" fontId="7" fillId="0" borderId="1" xfId="4" applyNumberFormat="1" applyFont="1" applyBorder="1" applyAlignment="1">
      <alignment horizontal="left" vertical="center" indent="1"/>
    </xf>
    <xf numFmtId="177" fontId="7" fillId="0" borderId="1" xfId="4" applyNumberFormat="1" applyFont="1" applyBorder="1" applyAlignment="1">
      <alignment horizontal="left" vertical="center" indent="1"/>
    </xf>
    <xf numFmtId="174" fontId="1" fillId="2" borderId="1" xfId="4" applyNumberFormat="1" applyFont="1" applyFill="1" applyBorder="1" applyAlignment="1">
      <alignment horizontal="left" vertical="center" indent="1"/>
    </xf>
    <xf numFmtId="174" fontId="0" fillId="2" borderId="1" xfId="0" applyNumberFormat="1" applyFill="1" applyBorder="1" applyAlignment="1">
      <alignment horizontal="left" vertical="center" indent="1"/>
    </xf>
    <xf numFmtId="174" fontId="7" fillId="0" borderId="1" xfId="4" applyNumberFormat="1" applyFont="1" applyFill="1" applyBorder="1" applyAlignment="1">
      <alignment horizontal="left" vertical="center" indent="1"/>
    </xf>
    <xf numFmtId="0" fontId="7" fillId="0" borderId="1" xfId="0" applyFont="1" applyBorder="1" applyAlignment="1">
      <alignment horizontal="left" vertical="center" wrapText="1" indent="2"/>
    </xf>
    <xf numFmtId="0" fontId="7" fillId="0" borderId="1" xfId="0" applyFont="1" applyBorder="1" applyAlignment="1">
      <alignment horizontal="left" vertical="center" indent="1"/>
    </xf>
    <xf numFmtId="0" fontId="0" fillId="0" borderId="1" xfId="0" applyBorder="1" applyAlignment="1">
      <alignment horizontal="left" vertical="center" indent="2"/>
    </xf>
    <xf numFmtId="17" fontId="7" fillId="0" borderId="1" xfId="0" applyNumberFormat="1" applyFont="1" applyBorder="1" applyAlignment="1">
      <alignment horizontal="left" vertical="center" indent="1"/>
    </xf>
    <xf numFmtId="174" fontId="7" fillId="2" borderId="1" xfId="4" applyNumberFormat="1" applyFont="1" applyFill="1" applyBorder="1" applyAlignment="1">
      <alignment horizontal="left" vertical="center" indent="1"/>
    </xf>
    <xf numFmtId="174" fontId="0" fillId="0" borderId="1" xfId="0" applyNumberFormat="1" applyBorder="1" applyAlignment="1">
      <alignment horizontal="left" vertical="center" wrapText="1" indent="1"/>
    </xf>
    <xf numFmtId="174" fontId="1" fillId="0" borderId="1" xfId="4" applyNumberFormat="1" applyFont="1" applyBorder="1" applyAlignment="1">
      <alignment horizontal="left" vertical="center" indent="1"/>
    </xf>
    <xf numFmtId="0" fontId="0" fillId="0" borderId="0" xfId="0" applyAlignment="1">
      <alignment horizontal="left" vertical="center" indent="2"/>
    </xf>
    <xf numFmtId="174" fontId="2" fillId="9" borderId="3" xfId="0" applyNumberFormat="1" applyFont="1" applyFill="1" applyBorder="1" applyAlignment="1">
      <alignment horizontal="left" vertical="center" indent="1"/>
    </xf>
    <xf numFmtId="164" fontId="5" fillId="9" borderId="1" xfId="3" applyNumberFormat="1" applyFont="1" applyFill="1" applyBorder="1" applyAlignment="1">
      <alignment horizontal="left" vertical="center" indent="1"/>
    </xf>
    <xf numFmtId="0" fontId="0" fillId="9" borderId="1" xfId="0" applyFill="1" applyBorder="1" applyAlignment="1">
      <alignment horizontal="left" vertical="center" wrapText="1" indent="1"/>
    </xf>
    <xf numFmtId="0" fontId="2" fillId="9" borderId="7" xfId="0" applyFont="1" applyFill="1" applyBorder="1" applyAlignment="1">
      <alignment horizontal="center" vertical="center"/>
    </xf>
    <xf numFmtId="176" fontId="1" fillId="0" borderId="1" xfId="4" applyNumberFormat="1" applyFont="1" applyFill="1" applyBorder="1" applyAlignment="1">
      <alignment horizontal="left" vertical="center" indent="1"/>
    </xf>
    <xf numFmtId="0" fontId="0" fillId="0" borderId="10" xfId="0" applyBorder="1" applyAlignment="1">
      <alignment horizontal="left" vertical="center" indent="1"/>
    </xf>
    <xf numFmtId="174" fontId="1" fillId="0" borderId="1" xfId="4" applyNumberFormat="1" applyFont="1" applyFill="1" applyBorder="1" applyAlignment="1">
      <alignment horizontal="left" vertical="center" indent="1"/>
    </xf>
    <xf numFmtId="170" fontId="0" fillId="0" borderId="1" xfId="0" applyNumberFormat="1" applyBorder="1" applyAlignment="1">
      <alignment horizontal="left" vertical="center" wrapText="1" indent="1"/>
    </xf>
    <xf numFmtId="0" fontId="7" fillId="2" borderId="1" xfId="0" applyFont="1" applyFill="1" applyBorder="1" applyAlignment="1">
      <alignment horizontal="left" vertical="center" wrapText="1" indent="1"/>
    </xf>
    <xf numFmtId="0" fontId="0" fillId="2" borderId="1" xfId="0" applyFill="1" applyBorder="1" applyAlignment="1">
      <alignment horizontal="left" vertical="center" wrapText="1" indent="1"/>
    </xf>
    <xf numFmtId="174" fontId="7" fillId="2" borderId="1" xfId="4" applyNumberFormat="1" applyFont="1" applyFill="1" applyBorder="1" applyAlignment="1">
      <alignment horizontal="left" vertical="center" wrapText="1" indent="1"/>
    </xf>
    <xf numFmtId="0" fontId="0" fillId="0" borderId="0" xfId="0" applyAlignment="1">
      <alignment horizontal="center"/>
    </xf>
    <xf numFmtId="0" fontId="4" fillId="9" borderId="12" xfId="2" applyFont="1" applyFill="1" applyBorder="1" applyAlignment="1">
      <alignment horizontal="center" vertical="center"/>
    </xf>
    <xf numFmtId="0" fontId="2" fillId="9" borderId="12" xfId="0" applyFont="1" applyFill="1" applyBorder="1" applyAlignment="1">
      <alignment horizontal="center" vertical="center" wrapText="1"/>
    </xf>
    <xf numFmtId="0" fontId="2" fillId="9" borderId="2" xfId="0" applyFont="1" applyFill="1" applyBorder="1" applyAlignment="1">
      <alignment horizontal="center" vertical="center" wrapText="1"/>
    </xf>
    <xf numFmtId="174" fontId="0" fillId="9" borderId="1" xfId="0" applyNumberFormat="1" applyFill="1" applyBorder="1" applyAlignment="1">
      <alignment horizontal="left" vertical="center" indent="1"/>
    </xf>
    <xf numFmtId="165" fontId="1" fillId="2" borderId="10" xfId="3" applyNumberFormat="1" applyFill="1" applyBorder="1" applyAlignment="1">
      <alignment horizontal="left" vertical="center" indent="1"/>
    </xf>
    <xf numFmtId="164" fontId="9" fillId="2" borderId="1" xfId="3" applyNumberFormat="1" applyFont="1" applyFill="1" applyBorder="1" applyAlignment="1">
      <alignment horizontal="left" vertical="center" indent="1"/>
    </xf>
    <xf numFmtId="164" fontId="9" fillId="0" borderId="8" xfId="3" applyNumberFormat="1" applyFont="1" applyBorder="1" applyAlignment="1">
      <alignment horizontal="left" vertical="center" wrapText="1" indent="1"/>
    </xf>
    <xf numFmtId="174" fontId="0" fillId="0" borderId="10" xfId="0" applyNumberFormat="1" applyBorder="1" applyAlignment="1">
      <alignment horizontal="left" vertical="center" indent="1"/>
    </xf>
    <xf numFmtId="165" fontId="7" fillId="2" borderId="1" xfId="3" applyNumberFormat="1" applyFont="1" applyFill="1" applyBorder="1" applyAlignment="1">
      <alignment horizontal="left" vertical="center" indent="1"/>
    </xf>
    <xf numFmtId="164" fontId="9" fillId="0" borderId="2" xfId="3" applyNumberFormat="1" applyFont="1" applyBorder="1" applyAlignment="1">
      <alignment horizontal="left" vertical="center" wrapText="1" indent="1"/>
    </xf>
    <xf numFmtId="165" fontId="1" fillId="0" borderId="1" xfId="3" applyNumberFormat="1" applyBorder="1" applyAlignment="1">
      <alignment horizontal="left" vertical="center" indent="1"/>
    </xf>
    <xf numFmtId="174" fontId="2" fillId="0" borderId="1" xfId="0" applyNumberFormat="1" applyFont="1" applyBorder="1" applyAlignment="1">
      <alignment horizontal="left" vertical="center" wrapText="1" indent="1"/>
    </xf>
    <xf numFmtId="165" fontId="7" fillId="0" borderId="1" xfId="3" applyNumberFormat="1" applyFont="1" applyBorder="1" applyAlignment="1">
      <alignment horizontal="left" vertical="center" indent="1"/>
    </xf>
    <xf numFmtId="0" fontId="7" fillId="2" borderId="1" xfId="0" applyFont="1" applyFill="1" applyBorder="1" applyAlignment="1">
      <alignment horizontal="left" vertical="center" indent="1"/>
    </xf>
    <xf numFmtId="0" fontId="0" fillId="0" borderId="2" xfId="0" applyBorder="1" applyAlignment="1">
      <alignment horizontal="left" vertical="center" indent="1"/>
    </xf>
    <xf numFmtId="0" fontId="0" fillId="0" borderId="3" xfId="0" applyBorder="1" applyAlignment="1">
      <alignment horizontal="left" vertical="center" indent="1"/>
    </xf>
    <xf numFmtId="174" fontId="0" fillId="0" borderId="1" xfId="0" applyNumberFormat="1" applyBorder="1" applyAlignment="1">
      <alignment horizontal="left" vertical="center" indent="1"/>
    </xf>
    <xf numFmtId="0" fontId="9" fillId="0" borderId="2" xfId="3" applyFont="1" applyBorder="1" applyAlignment="1">
      <alignment horizontal="left" vertical="center" wrapText="1" indent="1"/>
    </xf>
    <xf numFmtId="0" fontId="0" fillId="0" borderId="5" xfId="0" applyBorder="1" applyAlignment="1">
      <alignment horizontal="left" vertical="center" indent="1"/>
    </xf>
    <xf numFmtId="165" fontId="0" fillId="2" borderId="1" xfId="3" applyNumberFormat="1" applyFont="1" applyFill="1" applyBorder="1" applyAlignment="1">
      <alignment horizontal="left" vertical="center" indent="1"/>
    </xf>
    <xf numFmtId="164" fontId="9" fillId="0" borderId="11" xfId="3" applyNumberFormat="1" applyFont="1" applyBorder="1" applyAlignment="1">
      <alignment horizontal="left" vertical="center" wrapText="1" indent="1"/>
    </xf>
    <xf numFmtId="0" fontId="24" fillId="0" borderId="1" xfId="0" applyFont="1" applyBorder="1" applyAlignment="1">
      <alignment horizontal="left" vertical="center" indent="1"/>
    </xf>
    <xf numFmtId="0" fontId="25" fillId="0" borderId="2" xfId="3" applyFont="1" applyBorder="1" applyAlignment="1">
      <alignment horizontal="left" vertical="center" wrapText="1" indent="1"/>
    </xf>
    <xf numFmtId="165" fontId="2" fillId="9" borderId="1" xfId="0" applyNumberFormat="1" applyFont="1" applyFill="1" applyBorder="1" applyAlignment="1">
      <alignment horizontal="left" vertical="center" wrapText="1" indent="1"/>
    </xf>
    <xf numFmtId="164" fontId="5" fillId="9" borderId="2" xfId="3" applyNumberFormat="1" applyFont="1" applyFill="1" applyBorder="1" applyAlignment="1">
      <alignment horizontal="left" vertical="center" wrapText="1" indent="1"/>
    </xf>
    <xf numFmtId="49" fontId="10" fillId="9" borderId="7" xfId="0" applyNumberFormat="1" applyFont="1" applyFill="1" applyBorder="1" applyAlignment="1">
      <alignment horizontal="left" vertical="center"/>
    </xf>
    <xf numFmtId="0" fontId="14" fillId="9" borderId="0" xfId="0" applyFont="1" applyFill="1" applyAlignment="1">
      <alignment horizontal="left"/>
    </xf>
    <xf numFmtId="0" fontId="28" fillId="9" borderId="2" xfId="0" applyFont="1" applyFill="1" applyBorder="1" applyAlignment="1">
      <alignment horizontal="left" vertical="center"/>
    </xf>
    <xf numFmtId="0" fontId="28" fillId="9" borderId="1" xfId="0" applyFont="1" applyFill="1" applyBorder="1" applyAlignment="1">
      <alignment horizontal="left" vertical="center"/>
    </xf>
    <xf numFmtId="0" fontId="28" fillId="9" borderId="1" xfId="0" applyFont="1" applyFill="1" applyBorder="1" applyAlignment="1">
      <alignment horizontal="left" vertical="center" wrapText="1"/>
    </xf>
    <xf numFmtId="0" fontId="0" fillId="9" borderId="0" xfId="0" applyFill="1" applyAlignment="1">
      <alignment horizontal="center" vertical="center"/>
    </xf>
    <xf numFmtId="0" fontId="0" fillId="9" borderId="0" xfId="0" applyFill="1"/>
    <xf numFmtId="0" fontId="11" fillId="9" borderId="1" xfId="2" applyFont="1" applyFill="1" applyBorder="1" applyAlignment="1">
      <alignment horizontal="center" vertical="center"/>
    </xf>
    <xf numFmtId="0" fontId="5" fillId="9" borderId="10" xfId="3" applyFont="1" applyFill="1" applyBorder="1" applyAlignment="1">
      <alignment horizontal="center" vertical="center" wrapText="1"/>
    </xf>
    <xf numFmtId="0" fontId="9" fillId="9" borderId="0" xfId="0" applyFont="1" applyFill="1"/>
    <xf numFmtId="0" fontId="4" fillId="9" borderId="9" xfId="2" applyFont="1" applyFill="1" applyBorder="1" applyAlignment="1">
      <alignment horizontal="center" vertical="center" wrapText="1"/>
    </xf>
    <xf numFmtId="0" fontId="4" fillId="9" borderId="7" xfId="2" applyFont="1" applyFill="1" applyBorder="1" applyAlignment="1">
      <alignment horizontal="center" vertical="center" wrapText="1"/>
    </xf>
    <xf numFmtId="0" fontId="4" fillId="9" borderId="5" xfId="2" applyFont="1" applyFill="1" applyBorder="1" applyAlignment="1">
      <alignment horizontal="center" vertical="center" wrapText="1"/>
    </xf>
    <xf numFmtId="0" fontId="0" fillId="0" borderId="1" xfId="0" applyFill="1" applyBorder="1" applyAlignment="1">
      <alignment horizontal="left" vertical="center" wrapText="1" indent="2"/>
    </xf>
    <xf numFmtId="0" fontId="0" fillId="0" borderId="1" xfId="0" applyFill="1" applyBorder="1" applyAlignment="1">
      <alignment horizontal="left" wrapText="1" indent="1"/>
    </xf>
    <xf numFmtId="0" fontId="0" fillId="0" borderId="0" xfId="0" applyFill="1" applyAlignment="1">
      <alignment horizontal="left" vertical="center" wrapText="1" indent="1"/>
    </xf>
    <xf numFmtId="0" fontId="7" fillId="0" borderId="1" xfId="2" applyFont="1" applyFill="1" applyBorder="1" applyAlignment="1">
      <alignment horizontal="left" vertical="center" wrapText="1"/>
    </xf>
    <xf numFmtId="165" fontId="1" fillId="0" borderId="9" xfId="3" applyNumberFormat="1" applyFill="1" applyBorder="1" applyAlignment="1">
      <alignment horizontal="left" vertical="center" wrapText="1"/>
    </xf>
    <xf numFmtId="0" fontId="0" fillId="0" borderId="1" xfId="3" applyFont="1" applyFill="1" applyBorder="1" applyAlignment="1">
      <alignment horizontal="left" vertical="center" wrapText="1"/>
    </xf>
    <xf numFmtId="164" fontId="14" fillId="0" borderId="9" xfId="3" applyNumberFormat="1" applyFont="1" applyFill="1" applyBorder="1" applyAlignment="1">
      <alignment horizontal="left" vertical="center" wrapText="1"/>
    </xf>
    <xf numFmtId="0" fontId="14" fillId="0" borderId="1" xfId="0" applyFont="1" applyFill="1" applyBorder="1" applyAlignment="1">
      <alignment horizontal="left" vertical="center"/>
    </xf>
    <xf numFmtId="174" fontId="0" fillId="9" borderId="0" xfId="0" applyNumberFormat="1" applyFill="1" applyBorder="1" applyAlignment="1">
      <alignment horizontal="center" vertical="center"/>
    </xf>
    <xf numFmtId="49" fontId="0" fillId="0" borderId="0" xfId="0" applyNumberFormat="1"/>
    <xf numFmtId="0" fontId="2" fillId="9" borderId="1" xfId="0" applyFont="1" applyFill="1" applyBorder="1" applyAlignment="1">
      <alignment horizontal="center" vertical="center" wrapText="1"/>
    </xf>
    <xf numFmtId="0" fontId="4" fillId="9" borderId="12" xfId="2" applyFont="1" applyFill="1" applyBorder="1" applyAlignment="1">
      <alignment horizontal="center" vertical="center" wrapText="1"/>
    </xf>
    <xf numFmtId="0" fontId="4" fillId="9" borderId="1" xfId="2" applyFont="1" applyFill="1" applyBorder="1" applyAlignment="1">
      <alignment horizontal="center" vertical="center" wrapText="1"/>
    </xf>
    <xf numFmtId="174" fontId="0" fillId="0" borderId="1" xfId="0" applyNumberFormat="1" applyBorder="1" applyAlignment="1">
      <alignment horizontal="left" vertical="center" indent="1"/>
    </xf>
    <xf numFmtId="174" fontId="0" fillId="0" borderId="1" xfId="0" applyNumberFormat="1" applyBorder="1" applyAlignment="1">
      <alignment horizontal="left" vertical="center" indent="1"/>
    </xf>
    <xf numFmtId="164" fontId="5" fillId="4" borderId="5" xfId="3" applyNumberFormat="1" applyFont="1" applyFill="1" applyBorder="1" applyAlignment="1">
      <alignment horizontal="left" vertical="center" wrapText="1"/>
    </xf>
    <xf numFmtId="178" fontId="9" fillId="0" borderId="9" xfId="3" applyNumberFormat="1" applyFont="1" applyBorder="1" applyAlignment="1">
      <alignment horizontal="left" vertical="center" wrapText="1"/>
    </xf>
    <xf numFmtId="178" fontId="27" fillId="9" borderId="9" xfId="0" applyNumberFormat="1" applyFont="1" applyFill="1" applyBorder="1" applyAlignment="1">
      <alignment horizontal="center" vertical="center"/>
    </xf>
    <xf numFmtId="178" fontId="1" fillId="0" borderId="1" xfId="4" applyNumberFormat="1" applyFont="1" applyBorder="1" applyAlignment="1">
      <alignment horizontal="left" vertical="center" wrapText="1" indent="1"/>
    </xf>
    <xf numFmtId="178" fontId="1" fillId="0" borderId="5" xfId="4" applyNumberFormat="1" applyFont="1" applyBorder="1" applyAlignment="1">
      <alignment horizontal="left" vertical="center" wrapText="1" indent="1"/>
    </xf>
    <xf numFmtId="178" fontId="5" fillId="0" borderId="1" xfId="3" applyNumberFormat="1" applyFont="1" applyBorder="1" applyAlignment="1">
      <alignment horizontal="left" vertical="center" indent="1"/>
    </xf>
    <xf numFmtId="178" fontId="0" fillId="0" borderId="0" xfId="0" applyNumberFormat="1" applyAlignment="1">
      <alignment horizontal="left" indent="1"/>
    </xf>
    <xf numFmtId="0" fontId="2" fillId="9" borderId="7" xfId="0" applyFont="1" applyFill="1" applyBorder="1" applyAlignment="1">
      <alignment vertical="center"/>
    </xf>
    <xf numFmtId="0" fontId="2" fillId="9" borderId="12" xfId="0" applyFont="1" applyFill="1" applyBorder="1" applyAlignment="1">
      <alignment vertical="center"/>
    </xf>
    <xf numFmtId="0" fontId="2" fillId="9" borderId="19" xfId="0" applyFont="1" applyFill="1" applyBorder="1" applyAlignment="1">
      <alignment vertical="center"/>
    </xf>
    <xf numFmtId="178" fontId="2" fillId="9" borderId="12" xfId="0" applyNumberFormat="1" applyFont="1" applyFill="1" applyBorder="1" applyAlignment="1">
      <alignment vertical="center"/>
    </xf>
    <xf numFmtId="178" fontId="2" fillId="9" borderId="1" xfId="0" applyNumberFormat="1" applyFont="1" applyFill="1" applyBorder="1" applyAlignment="1">
      <alignment horizontal="center" vertical="center" wrapText="1"/>
    </xf>
    <xf numFmtId="178" fontId="7" fillId="0" borderId="1" xfId="4" applyNumberFormat="1" applyFont="1" applyBorder="1" applyAlignment="1">
      <alignment horizontal="left" vertical="center" indent="1"/>
    </xf>
    <xf numFmtId="178" fontId="1" fillId="2" borderId="1" xfId="4" applyNumberFormat="1" applyFont="1" applyFill="1" applyBorder="1" applyAlignment="1">
      <alignment horizontal="left" vertical="center" indent="1"/>
    </xf>
    <xf numFmtId="178" fontId="0" fillId="2" borderId="1" xfId="0" applyNumberFormat="1" applyFill="1" applyBorder="1" applyAlignment="1">
      <alignment horizontal="left" vertical="center" indent="1"/>
    </xf>
    <xf numFmtId="178" fontId="7" fillId="0" borderId="1" xfId="4" applyNumberFormat="1" applyFont="1" applyFill="1" applyBorder="1" applyAlignment="1">
      <alignment horizontal="left" vertical="center" indent="1"/>
    </xf>
    <xf numFmtId="178" fontId="0" fillId="0" borderId="0" xfId="0" applyNumberFormat="1" applyAlignment="1">
      <alignment horizontal="left" vertical="center" indent="1"/>
    </xf>
    <xf numFmtId="178" fontId="7" fillId="2" borderId="1" xfId="4" applyNumberFormat="1" applyFont="1" applyFill="1" applyBorder="1" applyAlignment="1">
      <alignment horizontal="left" vertical="center" indent="1"/>
    </xf>
    <xf numFmtId="178" fontId="0" fillId="0" borderId="1" xfId="0" applyNumberFormat="1" applyBorder="1" applyAlignment="1">
      <alignment horizontal="left" vertical="center" wrapText="1" indent="1"/>
    </xf>
    <xf numFmtId="178" fontId="1" fillId="0" borderId="1" xfId="4" applyNumberFormat="1" applyFont="1" applyBorder="1" applyAlignment="1">
      <alignment horizontal="left" vertical="center" indent="1"/>
    </xf>
    <xf numFmtId="178" fontId="0" fillId="0" borderId="1" xfId="0" applyNumberFormat="1" applyBorder="1" applyAlignment="1">
      <alignment horizontal="left" vertical="center" indent="1"/>
    </xf>
    <xf numFmtId="178" fontId="2" fillId="9" borderId="3" xfId="0" applyNumberFormat="1" applyFont="1" applyFill="1" applyBorder="1" applyAlignment="1">
      <alignment horizontal="left" vertical="center" indent="1"/>
    </xf>
    <xf numFmtId="0" fontId="4" fillId="12" borderId="14" xfId="2" applyFont="1" applyFill="1" applyBorder="1" applyAlignment="1">
      <alignment vertical="center" wrapText="1"/>
    </xf>
    <xf numFmtId="0" fontId="4" fillId="12" borderId="15" xfId="2" applyFont="1" applyFill="1" applyBorder="1" applyAlignment="1">
      <alignment vertical="center" wrapText="1"/>
    </xf>
    <xf numFmtId="0" fontId="4" fillId="12" borderId="18" xfId="2" applyFont="1" applyFill="1" applyBorder="1" applyAlignment="1">
      <alignment vertical="center" wrapText="1"/>
    </xf>
    <xf numFmtId="178" fontId="4" fillId="12" borderId="15" xfId="2" applyNumberFormat="1" applyFont="1" applyFill="1" applyBorder="1" applyAlignment="1">
      <alignment vertical="center" wrapText="1"/>
    </xf>
    <xf numFmtId="178" fontId="1" fillId="0" borderId="1" xfId="4" applyNumberFormat="1" applyFont="1" applyFill="1" applyBorder="1" applyAlignment="1">
      <alignment horizontal="left" vertical="center" indent="1"/>
    </xf>
    <xf numFmtId="178" fontId="1" fillId="0" borderId="1" xfId="4" applyNumberFormat="1" applyFont="1" applyFill="1" applyBorder="1" applyAlignment="1">
      <alignment horizontal="left" vertical="center" wrapText="1" indent="1"/>
    </xf>
    <xf numFmtId="178" fontId="7" fillId="2" borderId="1" xfId="4" applyNumberFormat="1" applyFont="1" applyFill="1" applyBorder="1" applyAlignment="1">
      <alignment horizontal="left" vertical="center" wrapText="1" indent="1"/>
    </xf>
    <xf numFmtId="178" fontId="2" fillId="0" borderId="3" xfId="0" applyNumberFormat="1" applyFont="1" applyBorder="1" applyAlignment="1">
      <alignment horizontal="left" vertical="center" indent="1"/>
    </xf>
    <xf numFmtId="178" fontId="1" fillId="0" borderId="1" xfId="4" applyNumberFormat="1" applyFont="1" applyBorder="1" applyAlignment="1">
      <alignment horizontal="center" vertical="center" wrapText="1"/>
    </xf>
    <xf numFmtId="178" fontId="1" fillId="0" borderId="5" xfId="4" applyNumberFormat="1" applyFont="1" applyBorder="1" applyAlignment="1">
      <alignment horizontal="center" vertical="center" wrapText="1"/>
    </xf>
    <xf numFmtId="178" fontId="5" fillId="0" borderId="1" xfId="3" applyNumberFormat="1" applyFont="1" applyBorder="1" applyAlignment="1">
      <alignment horizontal="center" vertical="center"/>
    </xf>
    <xf numFmtId="178" fontId="0" fillId="0" borderId="0" xfId="0" applyNumberFormat="1" applyAlignment="1">
      <alignment horizontal="center"/>
    </xf>
    <xf numFmtId="178" fontId="7" fillId="0" borderId="1" xfId="4" applyNumberFormat="1" applyFont="1" applyBorder="1" applyAlignment="1">
      <alignment horizontal="left" vertical="center" wrapText="1" indent="1"/>
    </xf>
    <xf numFmtId="178" fontId="15" fillId="9" borderId="9" xfId="0" applyNumberFormat="1" applyFont="1" applyFill="1" applyBorder="1" applyAlignment="1">
      <alignment horizontal="left" vertical="center" wrapText="1" indent="1"/>
    </xf>
    <xf numFmtId="178" fontId="0" fillId="0" borderId="1" xfId="0" applyNumberFormat="1" applyFill="1" applyBorder="1" applyAlignment="1">
      <alignment horizontal="left" vertical="center" wrapText="1" indent="1"/>
    </xf>
    <xf numFmtId="178" fontId="2" fillId="9" borderId="1" xfId="3" applyNumberFormat="1" applyFont="1" applyFill="1" applyBorder="1" applyAlignment="1">
      <alignment horizontal="left" vertical="center" indent="1"/>
    </xf>
    <xf numFmtId="178" fontId="2" fillId="0" borderId="0" xfId="0" applyNumberFormat="1" applyFont="1" applyAlignment="1">
      <alignment horizontal="left" vertical="center" wrapText="1" indent="1"/>
    </xf>
    <xf numFmtId="178" fontId="5" fillId="0" borderId="0" xfId="3" applyNumberFormat="1" applyFont="1" applyAlignment="1">
      <alignment horizontal="left" vertical="center" indent="1"/>
    </xf>
    <xf numFmtId="178" fontId="2" fillId="0" borderId="0" xfId="0" applyNumberFormat="1" applyFont="1" applyAlignment="1">
      <alignment horizontal="left" vertical="center" indent="1"/>
    </xf>
    <xf numFmtId="174" fontId="27" fillId="9" borderId="9" xfId="0" applyNumberFormat="1" applyFont="1" applyFill="1" applyBorder="1" applyAlignment="1">
      <alignment horizontal="center" vertical="center"/>
    </xf>
    <xf numFmtId="174" fontId="1" fillId="0" borderId="1" xfId="4" applyNumberFormat="1" applyFont="1" applyBorder="1" applyAlignment="1">
      <alignment horizontal="center" vertical="center" wrapText="1"/>
    </xf>
    <xf numFmtId="174" fontId="1" fillId="0" borderId="5" xfId="4" applyNumberFormat="1" applyFont="1" applyBorder="1" applyAlignment="1">
      <alignment horizontal="center" vertical="center" wrapText="1"/>
    </xf>
    <xf numFmtId="174" fontId="5" fillId="0" borderId="1" xfId="3" applyNumberFormat="1" applyFont="1" applyBorder="1" applyAlignment="1">
      <alignment horizontal="center" vertical="center"/>
    </xf>
    <xf numFmtId="174" fontId="0" fillId="0" borderId="0" xfId="0" applyNumberFormat="1" applyAlignment="1">
      <alignment horizontal="center"/>
    </xf>
    <xf numFmtId="0" fontId="2" fillId="8" borderId="0" xfId="0" applyFont="1" applyFill="1" applyBorder="1" applyAlignment="1">
      <alignment horizontal="left" vertical="center"/>
    </xf>
    <xf numFmtId="178" fontId="28" fillId="9" borderId="1" xfId="0" applyNumberFormat="1" applyFont="1" applyFill="1" applyBorder="1" applyAlignment="1">
      <alignment horizontal="left" vertical="center" wrapText="1"/>
    </xf>
    <xf numFmtId="178" fontId="29" fillId="0" borderId="1" xfId="1" applyNumberFormat="1" applyFont="1" applyFill="1" applyBorder="1" applyAlignment="1">
      <alignment horizontal="left" vertical="center"/>
    </xf>
    <xf numFmtId="178" fontId="29" fillId="0" borderId="1" xfId="1" applyNumberFormat="1" applyFont="1" applyBorder="1" applyAlignment="1">
      <alignment horizontal="left" vertical="center"/>
    </xf>
    <xf numFmtId="178" fontId="15" fillId="0" borderId="1" xfId="0" applyNumberFormat="1" applyFont="1" applyBorder="1" applyAlignment="1">
      <alignment horizontal="left" vertical="center"/>
    </xf>
    <xf numFmtId="178" fontId="14" fillId="0" borderId="1" xfId="0" applyNumberFormat="1" applyFont="1" applyBorder="1" applyAlignment="1">
      <alignment horizontal="left" vertical="center"/>
    </xf>
    <xf numFmtId="178" fontId="28" fillId="6" borderId="1" xfId="0" applyNumberFormat="1" applyFont="1" applyFill="1" applyBorder="1" applyAlignment="1">
      <alignment horizontal="left" vertical="center"/>
    </xf>
    <xf numFmtId="178" fontId="29" fillId="0" borderId="1" xfId="0" applyNumberFormat="1" applyFont="1" applyBorder="1" applyAlignment="1">
      <alignment horizontal="left" vertical="center"/>
    </xf>
    <xf numFmtId="178" fontId="29" fillId="0" borderId="0" xfId="0" applyNumberFormat="1" applyFont="1" applyBorder="1" applyAlignment="1">
      <alignment horizontal="left" vertical="center"/>
    </xf>
    <xf numFmtId="178" fontId="15" fillId="0" borderId="10" xfId="0" applyNumberFormat="1" applyFont="1" applyBorder="1" applyAlignment="1">
      <alignment horizontal="left" vertical="center"/>
    </xf>
    <xf numFmtId="178" fontId="14" fillId="0" borderId="0" xfId="0" applyNumberFormat="1" applyFont="1" applyAlignment="1">
      <alignment horizontal="left"/>
    </xf>
    <xf numFmtId="178" fontId="2" fillId="8" borderId="0" xfId="0" applyNumberFormat="1" applyFont="1" applyFill="1" applyBorder="1" applyAlignment="1">
      <alignment horizontal="left" vertical="center"/>
    </xf>
    <xf numFmtId="176" fontId="29" fillId="0" borderId="1" xfId="0" applyNumberFormat="1" applyFont="1" applyBorder="1" applyAlignment="1">
      <alignment horizontal="left" vertical="center" wrapText="1"/>
    </xf>
    <xf numFmtId="176" fontId="29" fillId="0" borderId="0" xfId="0" applyNumberFormat="1" applyFont="1" applyBorder="1" applyAlignment="1">
      <alignment horizontal="left" vertical="center" wrapText="1"/>
    </xf>
    <xf numFmtId="176" fontId="15" fillId="0" borderId="1" xfId="0" applyNumberFormat="1" applyFont="1" applyBorder="1" applyAlignment="1">
      <alignment horizontal="left" vertical="center"/>
    </xf>
    <xf numFmtId="2" fontId="14" fillId="0" borderId="10" xfId="0" applyNumberFormat="1" applyFont="1" applyBorder="1" applyAlignment="1">
      <alignment horizontal="left" vertical="center"/>
    </xf>
    <xf numFmtId="174" fontId="28" fillId="9" borderId="1" xfId="0" applyNumberFormat="1" applyFont="1" applyFill="1" applyBorder="1" applyAlignment="1">
      <alignment horizontal="left" vertical="center" wrapText="1"/>
    </xf>
    <xf numFmtId="174" fontId="29" fillId="0" borderId="1" xfId="1" applyNumberFormat="1" applyFont="1" applyFill="1" applyBorder="1" applyAlignment="1">
      <alignment horizontal="left" vertical="center"/>
    </xf>
    <xf numFmtId="174" fontId="29" fillId="0" borderId="1" xfId="1" applyNumberFormat="1" applyFont="1" applyBorder="1" applyAlignment="1">
      <alignment horizontal="left" vertical="center"/>
    </xf>
    <xf numFmtId="174" fontId="14" fillId="0" borderId="1" xfId="0" applyNumberFormat="1" applyFont="1" applyBorder="1" applyAlignment="1">
      <alignment horizontal="left" vertical="center"/>
    </xf>
    <xf numFmtId="174" fontId="28" fillId="6" borderId="1" xfId="0" applyNumberFormat="1" applyFont="1" applyFill="1" applyBorder="1" applyAlignment="1">
      <alignment horizontal="left" vertical="center"/>
    </xf>
    <xf numFmtId="174" fontId="15" fillId="0" borderId="10" xfId="0" applyNumberFormat="1" applyFont="1" applyBorder="1" applyAlignment="1">
      <alignment horizontal="left" vertical="center"/>
    </xf>
    <xf numFmtId="174" fontId="14" fillId="0" borderId="0" xfId="0" applyNumberFormat="1" applyFont="1" applyAlignment="1">
      <alignment horizontal="left"/>
    </xf>
    <xf numFmtId="174" fontId="2" fillId="8" borderId="0" xfId="0" applyNumberFormat="1" applyFont="1" applyFill="1" applyBorder="1" applyAlignment="1">
      <alignment horizontal="left" vertical="center"/>
    </xf>
    <xf numFmtId="174" fontId="2" fillId="9" borderId="12" xfId="0" applyNumberFormat="1" applyFont="1" applyFill="1" applyBorder="1" applyAlignment="1">
      <alignment vertical="center"/>
    </xf>
    <xf numFmtId="174" fontId="2" fillId="9" borderId="12" xfId="0" applyNumberFormat="1" applyFont="1" applyFill="1" applyBorder="1" applyAlignment="1">
      <alignment horizontal="center" vertical="center"/>
    </xf>
    <xf numFmtId="174" fontId="9" fillId="2" borderId="8" xfId="3" applyNumberFormat="1" applyFont="1" applyFill="1" applyBorder="1" applyAlignment="1">
      <alignment horizontal="left" vertical="center" indent="1"/>
    </xf>
    <xf numFmtId="174" fontId="9" fillId="2" borderId="2" xfId="3" applyNumberFormat="1" applyFont="1" applyFill="1" applyBorder="1" applyAlignment="1">
      <alignment horizontal="left" vertical="center" indent="1"/>
    </xf>
    <xf numFmtId="174" fontId="9" fillId="2" borderId="1" xfId="3" applyNumberFormat="1" applyFont="1" applyFill="1" applyBorder="1" applyAlignment="1">
      <alignment horizontal="left" vertical="center" indent="1"/>
    </xf>
    <xf numFmtId="174" fontId="9" fillId="2" borderId="11" xfId="3" applyNumberFormat="1" applyFont="1" applyFill="1" applyBorder="1" applyAlignment="1">
      <alignment horizontal="left" vertical="center" indent="1"/>
    </xf>
    <xf numFmtId="174" fontId="5" fillId="9" borderId="2" xfId="3" applyNumberFormat="1" applyFont="1" applyFill="1" applyBorder="1" applyAlignment="1">
      <alignment horizontal="left" vertical="center" indent="1"/>
    </xf>
    <xf numFmtId="174" fontId="0" fillId="2" borderId="0" xfId="0" applyNumberFormat="1" applyFill="1" applyAlignment="1">
      <alignment horizontal="center" vertical="center"/>
    </xf>
    <xf numFmtId="174" fontId="0" fillId="0" borderId="0" xfId="0" applyNumberFormat="1"/>
    <xf numFmtId="178" fontId="0" fillId="0" borderId="1" xfId="4" applyNumberFormat="1" applyFont="1" applyBorder="1" applyAlignment="1">
      <alignment horizontal="left" vertical="center" wrapText="1" indent="1"/>
    </xf>
    <xf numFmtId="178" fontId="2" fillId="9" borderId="12" xfId="0" applyNumberFormat="1" applyFont="1" applyFill="1" applyBorder="1" applyAlignment="1">
      <alignment horizontal="center" vertical="center"/>
    </xf>
    <xf numFmtId="178" fontId="9" fillId="2" borderId="8" xfId="3" applyNumberFormat="1" applyFont="1" applyFill="1" applyBorder="1" applyAlignment="1">
      <alignment horizontal="left" vertical="center" indent="1"/>
    </xf>
    <xf numFmtId="178" fontId="9" fillId="2" borderId="2" xfId="3" applyNumberFormat="1" applyFont="1" applyFill="1" applyBorder="1" applyAlignment="1">
      <alignment horizontal="left" vertical="center" indent="1"/>
    </xf>
    <xf numFmtId="178" fontId="9" fillId="2" borderId="1" xfId="3" applyNumberFormat="1" applyFont="1" applyFill="1" applyBorder="1" applyAlignment="1">
      <alignment horizontal="left" vertical="center" indent="1"/>
    </xf>
    <xf numFmtId="178" fontId="9" fillId="2" borderId="11" xfId="3" applyNumberFormat="1" applyFont="1" applyFill="1" applyBorder="1" applyAlignment="1">
      <alignment horizontal="left" vertical="center" indent="1"/>
    </xf>
    <xf numFmtId="178" fontId="5" fillId="9" borderId="2" xfId="3" applyNumberFormat="1" applyFont="1" applyFill="1" applyBorder="1" applyAlignment="1">
      <alignment horizontal="left" vertical="center" indent="1"/>
    </xf>
    <xf numFmtId="178" fontId="0" fillId="2" borderId="0" xfId="0" applyNumberFormat="1" applyFill="1" applyAlignment="1">
      <alignment horizontal="center" vertical="center"/>
    </xf>
    <xf numFmtId="178" fontId="0" fillId="0" borderId="0" xfId="0" applyNumberFormat="1"/>
    <xf numFmtId="174" fontId="2" fillId="0" borderId="0" xfId="0" applyNumberFormat="1" applyFont="1" applyAlignment="1">
      <alignment horizontal="left" vertical="center" wrapText="1" indent="1"/>
    </xf>
    <xf numFmtId="174" fontId="5" fillId="0" borderId="0" xfId="3" applyNumberFormat="1" applyFont="1" applyAlignment="1">
      <alignment horizontal="left" vertical="center" indent="1"/>
    </xf>
    <xf numFmtId="0" fontId="2" fillId="9" borderId="1" xfId="0" applyFont="1" applyFill="1" applyBorder="1" applyAlignment="1">
      <alignment horizontal="center" vertical="center" wrapText="1"/>
    </xf>
    <xf numFmtId="174" fontId="0" fillId="0" borderId="1" xfId="0" applyNumberFormat="1" applyBorder="1" applyAlignment="1">
      <alignment horizontal="left" vertical="center" indent="1"/>
    </xf>
    <xf numFmtId="164" fontId="9" fillId="0" borderId="2" xfId="3" applyNumberFormat="1" applyFont="1" applyBorder="1" applyAlignment="1">
      <alignment horizontal="left" vertical="center" indent="1"/>
    </xf>
    <xf numFmtId="174" fontId="4" fillId="9" borderId="12" xfId="2" applyNumberFormat="1" applyFont="1" applyFill="1" applyBorder="1" applyAlignment="1">
      <alignment horizontal="center" vertical="center" wrapText="1"/>
    </xf>
    <xf numFmtId="174" fontId="4" fillId="9" borderId="5" xfId="2" applyNumberFormat="1" applyFont="1" applyFill="1" applyBorder="1" applyAlignment="1">
      <alignment horizontal="center" vertical="center"/>
    </xf>
    <xf numFmtId="174" fontId="4" fillId="9" borderId="1" xfId="2" applyNumberFormat="1" applyFont="1" applyFill="1" applyBorder="1" applyAlignment="1">
      <alignment horizontal="center" vertical="center" wrapText="1"/>
    </xf>
    <xf numFmtId="174" fontId="6" fillId="3" borderId="1" xfId="2" applyNumberFormat="1" applyFont="1" applyFill="1" applyBorder="1" applyAlignment="1">
      <alignment horizontal="center" vertical="center" wrapText="1"/>
    </xf>
    <xf numFmtId="174" fontId="9" fillId="0" borderId="9" xfId="3" applyNumberFormat="1" applyFont="1" applyBorder="1" applyAlignment="1">
      <alignment horizontal="left" vertical="center" wrapText="1"/>
    </xf>
    <xf numFmtId="174" fontId="5" fillId="4" borderId="5" xfId="3" applyNumberFormat="1" applyFont="1" applyFill="1" applyBorder="1" applyAlignment="1">
      <alignment horizontal="left" vertical="center" wrapText="1"/>
    </xf>
    <xf numFmtId="178" fontId="7" fillId="0" borderId="1" xfId="4" applyNumberFormat="1" applyFont="1" applyFill="1" applyBorder="1" applyAlignment="1">
      <alignment horizontal="left" vertical="center" wrapText="1" indent="1"/>
    </xf>
    <xf numFmtId="164" fontId="9" fillId="2" borderId="8" xfId="3" applyNumberFormat="1" applyFont="1" applyFill="1" applyBorder="1" applyAlignment="1">
      <alignment horizontal="left" vertical="center" wrapText="1"/>
    </xf>
    <xf numFmtId="164" fontId="9" fillId="2" borderId="2" xfId="3" applyNumberFormat="1" applyFont="1" applyFill="1" applyBorder="1" applyAlignment="1">
      <alignment horizontal="left" vertical="center" wrapText="1"/>
    </xf>
    <xf numFmtId="164" fontId="9" fillId="2" borderId="1" xfId="3" applyNumberFormat="1" applyFont="1" applyFill="1" applyBorder="1" applyAlignment="1">
      <alignment horizontal="left" vertical="center" wrapText="1"/>
    </xf>
    <xf numFmtId="164" fontId="9" fillId="2" borderId="11" xfId="3" applyNumberFormat="1" applyFont="1" applyFill="1" applyBorder="1" applyAlignment="1">
      <alignment horizontal="left" vertical="center" wrapText="1"/>
    </xf>
    <xf numFmtId="164" fontId="5" fillId="9" borderId="2" xfId="3" applyNumberFormat="1" applyFont="1" applyFill="1" applyBorder="1" applyAlignment="1">
      <alignment horizontal="left" vertical="center" wrapText="1"/>
    </xf>
    <xf numFmtId="0" fontId="0" fillId="2" borderId="0" xfId="0" applyFill="1" applyAlignment="1">
      <alignment horizontal="center" vertical="center" wrapText="1"/>
    </xf>
    <xf numFmtId="177" fontId="0" fillId="0" borderId="1" xfId="0" applyNumberFormat="1" applyFill="1" applyBorder="1" applyAlignment="1">
      <alignment horizontal="center" vertical="top" wrapText="1"/>
    </xf>
    <xf numFmtId="177" fontId="0" fillId="0" borderId="1" xfId="0" applyNumberFormat="1" applyFill="1" applyBorder="1" applyAlignment="1">
      <alignment horizontal="left" vertical="top" wrapText="1" indent="1"/>
    </xf>
    <xf numFmtId="174" fontId="0" fillId="0" borderId="1" xfId="4" applyNumberFormat="1" applyFont="1" applyBorder="1" applyAlignment="1">
      <alignment horizontal="left" vertical="center" wrapText="1" indent="1"/>
    </xf>
    <xf numFmtId="178" fontId="0" fillId="0" borderId="1" xfId="4" applyNumberFormat="1" applyFont="1" applyBorder="1" applyAlignment="1">
      <alignment horizontal="center" vertical="center" wrapText="1"/>
    </xf>
    <xf numFmtId="174" fontId="0" fillId="0" borderId="1" xfId="0" applyNumberFormat="1" applyBorder="1" applyAlignment="1">
      <alignment horizontal="left" vertical="top" wrapText="1" indent="1"/>
    </xf>
    <xf numFmtId="174" fontId="0" fillId="0" borderId="0" xfId="0" applyNumberFormat="1" applyAlignment="1">
      <alignment horizontal="left" vertical="top" wrapText="1" indent="1"/>
    </xf>
    <xf numFmtId="164" fontId="9" fillId="2" borderId="2" xfId="3" applyNumberFormat="1" applyFont="1" applyFill="1" applyBorder="1" applyAlignment="1">
      <alignment horizontal="left" vertical="top" wrapText="1"/>
    </xf>
    <xf numFmtId="174" fontId="15" fillId="9" borderId="9" xfId="0" applyNumberFormat="1" applyFont="1" applyFill="1" applyBorder="1" applyAlignment="1">
      <alignment horizontal="center" vertical="center"/>
    </xf>
    <xf numFmtId="174" fontId="0" fillId="0" borderId="1" xfId="0" applyNumberFormat="1" applyBorder="1" applyAlignment="1">
      <alignment horizontal="left" vertical="center" indent="1"/>
    </xf>
    <xf numFmtId="176" fontId="4" fillId="9" borderId="12" xfId="2" applyNumberFormat="1" applyFont="1" applyFill="1" applyBorder="1" applyAlignment="1">
      <alignment horizontal="center" vertical="center" wrapText="1"/>
    </xf>
    <xf numFmtId="177" fontId="9" fillId="0" borderId="1" xfId="6" applyNumberFormat="1" applyFont="1" applyBorder="1" applyAlignment="1"/>
    <xf numFmtId="176" fontId="0" fillId="0" borderId="0" xfId="0" applyNumberFormat="1"/>
    <xf numFmtId="176" fontId="9" fillId="0" borderId="9" xfId="3" applyNumberFormat="1" applyFont="1" applyBorder="1" applyAlignment="1">
      <alignment horizontal="left" vertical="center" wrapText="1"/>
    </xf>
    <xf numFmtId="176" fontId="6" fillId="3" borderId="1" xfId="2" applyNumberFormat="1" applyFont="1" applyFill="1" applyBorder="1" applyAlignment="1">
      <alignment horizontal="center" vertical="center" wrapText="1"/>
    </xf>
    <xf numFmtId="176" fontId="4" fillId="9" borderId="5" xfId="2" applyNumberFormat="1" applyFont="1" applyFill="1" applyBorder="1" applyAlignment="1">
      <alignment horizontal="center" vertical="center"/>
    </xf>
    <xf numFmtId="176" fontId="5" fillId="4" borderId="5" xfId="3" applyNumberFormat="1" applyFont="1" applyFill="1" applyBorder="1" applyAlignment="1">
      <alignment horizontal="left" vertical="center" wrapText="1"/>
    </xf>
    <xf numFmtId="176" fontId="9" fillId="0" borderId="1" xfId="6" applyNumberFormat="1" applyFont="1" applyBorder="1" applyAlignment="1"/>
    <xf numFmtId="176" fontId="4" fillId="9" borderId="1" xfId="2" applyNumberFormat="1" applyFont="1" applyFill="1" applyBorder="1" applyAlignment="1">
      <alignment horizontal="center" vertical="center" wrapText="1"/>
    </xf>
    <xf numFmtId="177" fontId="2" fillId="9" borderId="1" xfId="3" applyNumberFormat="1" applyFont="1" applyFill="1" applyBorder="1" applyAlignment="1">
      <alignment horizontal="left" vertical="center" indent="1"/>
    </xf>
    <xf numFmtId="177" fontId="15" fillId="9" borderId="9" xfId="0" applyNumberFormat="1" applyFont="1" applyFill="1" applyBorder="1" applyAlignment="1">
      <alignment horizontal="left" vertical="center" wrapText="1" indent="1"/>
    </xf>
    <xf numFmtId="177" fontId="2" fillId="0" borderId="0" xfId="0" applyNumberFormat="1" applyFont="1" applyAlignment="1">
      <alignment horizontal="left" vertical="center" wrapText="1" indent="1"/>
    </xf>
    <xf numFmtId="177" fontId="5" fillId="0" borderId="0" xfId="3" applyNumberFormat="1" applyFont="1" applyAlignment="1">
      <alignment horizontal="left" vertical="center" indent="1"/>
    </xf>
    <xf numFmtId="177" fontId="0" fillId="0" borderId="0" xfId="0" applyNumberFormat="1" applyAlignment="1">
      <alignment horizontal="left" vertical="center" indent="1"/>
    </xf>
    <xf numFmtId="177" fontId="2" fillId="0" borderId="0" xfId="0" applyNumberFormat="1" applyFont="1" applyAlignment="1">
      <alignment horizontal="left" vertical="center" indent="1"/>
    </xf>
    <xf numFmtId="177" fontId="0" fillId="0" borderId="0" xfId="0" applyNumberFormat="1" applyAlignment="1">
      <alignment horizontal="left" indent="1"/>
    </xf>
    <xf numFmtId="177" fontId="2" fillId="9" borderId="12" xfId="0" applyNumberFormat="1" applyFont="1" applyFill="1" applyBorder="1" applyAlignment="1">
      <alignment vertical="center"/>
    </xf>
    <xf numFmtId="177" fontId="2" fillId="9" borderId="1" xfId="0" applyNumberFormat="1" applyFont="1" applyFill="1" applyBorder="1" applyAlignment="1">
      <alignment horizontal="center" vertical="center" wrapText="1"/>
    </xf>
    <xf numFmtId="177" fontId="1" fillId="2" borderId="1" xfId="4" applyNumberFormat="1" applyFont="1" applyFill="1" applyBorder="1" applyAlignment="1">
      <alignment horizontal="left" vertical="center" indent="1"/>
    </xf>
    <xf numFmtId="177" fontId="0" fillId="2" borderId="1" xfId="0" applyNumberFormat="1" applyFill="1" applyBorder="1" applyAlignment="1">
      <alignment horizontal="left" vertical="center" indent="1"/>
    </xf>
    <xf numFmtId="177" fontId="7" fillId="0" borderId="1" xfId="4" applyNumberFormat="1" applyFont="1" applyFill="1" applyBorder="1" applyAlignment="1">
      <alignment horizontal="left" vertical="center" indent="1"/>
    </xf>
    <xf numFmtId="177" fontId="0" fillId="0" borderId="1" xfId="0" applyNumberFormat="1" applyBorder="1" applyAlignment="1">
      <alignment horizontal="left" vertical="center" indent="1"/>
    </xf>
    <xf numFmtId="177" fontId="7" fillId="2" borderId="1" xfId="4" applyNumberFormat="1" applyFont="1" applyFill="1" applyBorder="1" applyAlignment="1">
      <alignment horizontal="left" vertical="center" indent="1"/>
    </xf>
    <xf numFmtId="177" fontId="1" fillId="0" borderId="1" xfId="4" applyNumberFormat="1" applyFont="1" applyBorder="1" applyAlignment="1">
      <alignment horizontal="left" vertical="center" wrapText="1" indent="1"/>
    </xf>
    <xf numFmtId="177" fontId="0" fillId="0" borderId="1" xfId="0" applyNumberFormat="1" applyBorder="1" applyAlignment="1">
      <alignment horizontal="left" vertical="center" wrapText="1" indent="1"/>
    </xf>
    <xf numFmtId="177" fontId="1" fillId="0" borderId="1" xfId="4" applyNumberFormat="1" applyFont="1" applyBorder="1" applyAlignment="1">
      <alignment horizontal="left" vertical="center" indent="1"/>
    </xf>
    <xf numFmtId="177" fontId="2" fillId="9" borderId="3" xfId="0" applyNumberFormat="1" applyFont="1" applyFill="1" applyBorder="1" applyAlignment="1">
      <alignment horizontal="left" vertical="center" indent="1"/>
    </xf>
    <xf numFmtId="177" fontId="2" fillId="9" borderId="12" xfId="0" applyNumberFormat="1" applyFont="1" applyFill="1" applyBorder="1" applyAlignment="1">
      <alignment horizontal="center" vertical="center"/>
    </xf>
    <xf numFmtId="177" fontId="9" fillId="2" borderId="8" xfId="3" applyNumberFormat="1" applyFont="1" applyFill="1" applyBorder="1" applyAlignment="1">
      <alignment horizontal="left" vertical="center" indent="1"/>
    </xf>
    <xf numFmtId="177" fontId="9" fillId="2" borderId="2" xfId="3" applyNumberFormat="1" applyFont="1" applyFill="1" applyBorder="1" applyAlignment="1">
      <alignment horizontal="left" vertical="center" indent="1"/>
    </xf>
    <xf numFmtId="177" fontId="9" fillId="2" borderId="1" xfId="3" applyNumberFormat="1" applyFont="1" applyFill="1" applyBorder="1" applyAlignment="1">
      <alignment horizontal="left" vertical="center" indent="1"/>
    </xf>
    <xf numFmtId="177" fontId="9" fillId="2" borderId="11" xfId="3" applyNumberFormat="1" applyFont="1" applyFill="1" applyBorder="1" applyAlignment="1">
      <alignment horizontal="left" vertical="center" indent="1"/>
    </xf>
    <xf numFmtId="177" fontId="5" fillId="9" borderId="2" xfId="3" applyNumberFormat="1" applyFont="1" applyFill="1" applyBorder="1" applyAlignment="1">
      <alignment horizontal="left" vertical="center" indent="1"/>
    </xf>
    <xf numFmtId="177" fontId="0" fillId="2" borderId="0" xfId="0" applyNumberFormat="1" applyFill="1" applyAlignment="1">
      <alignment horizontal="center" vertical="center"/>
    </xf>
    <xf numFmtId="177" fontId="0" fillId="0" borderId="0" xfId="0" applyNumberFormat="1"/>
    <xf numFmtId="177" fontId="27" fillId="9" borderId="9" xfId="0" applyNumberFormat="1" applyFont="1" applyFill="1" applyBorder="1" applyAlignment="1">
      <alignment horizontal="center" vertical="center"/>
    </xf>
    <xf numFmtId="177" fontId="1" fillId="0" borderId="1" xfId="4" applyNumberFormat="1" applyFont="1" applyBorder="1" applyAlignment="1">
      <alignment horizontal="center" vertical="center" wrapText="1"/>
    </xf>
    <xf numFmtId="177" fontId="0" fillId="0" borderId="0" xfId="0" applyNumberFormat="1" applyAlignment="1">
      <alignment horizontal="center"/>
    </xf>
    <xf numFmtId="177" fontId="1" fillId="0" borderId="5" xfId="4" applyNumberFormat="1" applyFont="1" applyBorder="1" applyAlignment="1">
      <alignment horizontal="center" vertical="center" wrapText="1"/>
    </xf>
    <xf numFmtId="177" fontId="5" fillId="0" borderId="1" xfId="3" applyNumberFormat="1" applyFont="1" applyBorder="1" applyAlignment="1">
      <alignment horizontal="center" vertical="center"/>
    </xf>
    <xf numFmtId="177" fontId="4" fillId="12" borderId="15" xfId="2" applyNumberFormat="1" applyFont="1" applyFill="1" applyBorder="1" applyAlignment="1">
      <alignment vertical="center" wrapText="1"/>
    </xf>
    <xf numFmtId="177" fontId="1" fillId="0" borderId="1" xfId="4" applyNumberFormat="1" applyFont="1" applyFill="1" applyBorder="1" applyAlignment="1">
      <alignment horizontal="left" vertical="center" indent="1"/>
    </xf>
    <xf numFmtId="177" fontId="1" fillId="0" borderId="1" xfId="4" applyNumberFormat="1" applyFont="1" applyFill="1" applyBorder="1" applyAlignment="1">
      <alignment horizontal="left" vertical="center" wrapText="1" indent="1"/>
    </xf>
    <xf numFmtId="177" fontId="2" fillId="0" borderId="3" xfId="0" applyNumberFormat="1" applyFont="1" applyBorder="1" applyAlignment="1">
      <alignment horizontal="left" vertical="center" indent="1"/>
    </xf>
    <xf numFmtId="174" fontId="0" fillId="0" borderId="1" xfId="4" applyNumberFormat="1" applyFont="1" applyBorder="1" applyAlignment="1">
      <alignment horizontal="center" vertical="center" wrapText="1"/>
    </xf>
    <xf numFmtId="177" fontId="0" fillId="0" borderId="1" xfId="0" applyNumberFormat="1" applyBorder="1" applyAlignment="1">
      <alignment horizontal="center"/>
    </xf>
    <xf numFmtId="0" fontId="2" fillId="9" borderId="1" xfId="0" applyFont="1" applyFill="1" applyBorder="1" applyAlignment="1">
      <alignment horizontal="center" vertical="center" wrapText="1"/>
    </xf>
    <xf numFmtId="174" fontId="0" fillId="0" borderId="1" xfId="0" applyNumberFormat="1" applyBorder="1" applyAlignment="1">
      <alignment horizontal="left" vertical="center" indent="1"/>
    </xf>
    <xf numFmtId="174" fontId="2" fillId="9" borderId="2" xfId="0" applyNumberFormat="1" applyFont="1" applyFill="1" applyBorder="1" applyAlignment="1">
      <alignment horizontal="center" vertical="center" wrapText="1"/>
    </xf>
    <xf numFmtId="174" fontId="7" fillId="0" borderId="0" xfId="4" applyNumberFormat="1" applyFont="1" applyBorder="1" applyAlignment="1">
      <alignment horizontal="left" vertical="center" indent="1"/>
    </xf>
    <xf numFmtId="174" fontId="28" fillId="9" borderId="1" xfId="0" applyNumberFormat="1" applyFont="1" applyFill="1" applyBorder="1" applyAlignment="1">
      <alignment horizontal="center" vertical="center" wrapText="1"/>
    </xf>
    <xf numFmtId="167" fontId="29" fillId="0" borderId="1" xfId="1" applyNumberFormat="1" applyFont="1" applyBorder="1" applyAlignment="1">
      <alignment horizontal="left" vertical="center" wrapText="1"/>
    </xf>
    <xf numFmtId="174" fontId="9" fillId="0" borderId="9" xfId="6" applyNumberFormat="1" applyFont="1" applyBorder="1" applyAlignment="1"/>
    <xf numFmtId="174" fontId="29" fillId="0" borderId="10" xfId="1" applyNumberFormat="1" applyFont="1" applyFill="1" applyBorder="1" applyAlignment="1">
      <alignment horizontal="left" vertical="center"/>
    </xf>
    <xf numFmtId="174" fontId="2" fillId="9" borderId="0" xfId="0" applyNumberFormat="1" applyFont="1" applyFill="1" applyBorder="1" applyAlignment="1">
      <alignment horizontal="center" vertical="center"/>
    </xf>
    <xf numFmtId="174" fontId="11" fillId="9" borderId="10" xfId="2" applyNumberFormat="1" applyFont="1" applyFill="1" applyBorder="1" applyAlignment="1">
      <alignment horizontal="center" vertical="center"/>
    </xf>
    <xf numFmtId="174" fontId="11" fillId="9" borderId="9" xfId="2" applyNumberFormat="1" applyFont="1" applyFill="1" applyBorder="1" applyAlignment="1">
      <alignment horizontal="center" vertical="center"/>
    </xf>
    <xf numFmtId="174" fontId="12" fillId="3" borderId="1" xfId="2" applyNumberFormat="1" applyFont="1" applyFill="1" applyBorder="1" applyAlignment="1">
      <alignment horizontal="center" vertical="center"/>
    </xf>
    <xf numFmtId="174" fontId="13" fillId="0" borderId="3" xfId="2" applyNumberFormat="1" applyFont="1" applyBorder="1" applyAlignment="1">
      <alignment horizontal="center" vertical="center"/>
    </xf>
    <xf numFmtId="174" fontId="9" fillId="2" borderId="1" xfId="3" applyNumberFormat="1" applyFont="1" applyFill="1" applyBorder="1" applyAlignment="1">
      <alignment horizontal="center" vertical="center"/>
    </xf>
    <xf numFmtId="174" fontId="9" fillId="0" borderId="1" xfId="3" applyNumberFormat="1" applyFont="1" applyBorder="1" applyAlignment="1">
      <alignment horizontal="center" vertical="center"/>
    </xf>
    <xf numFmtId="174" fontId="4" fillId="4" borderId="1" xfId="3" applyNumberFormat="1" applyFont="1" applyFill="1" applyBorder="1" applyAlignment="1">
      <alignment horizontal="center" vertical="center"/>
    </xf>
    <xf numFmtId="174" fontId="4" fillId="9" borderId="9" xfId="2" applyNumberFormat="1" applyFont="1" applyFill="1" applyBorder="1" applyAlignment="1">
      <alignment horizontal="center" vertical="center"/>
    </xf>
    <xf numFmtId="174" fontId="6" fillId="3" borderId="1" xfId="2" applyNumberFormat="1" applyFont="1" applyFill="1" applyBorder="1" applyAlignment="1">
      <alignment horizontal="center" vertical="center"/>
    </xf>
    <xf numFmtId="174" fontId="5" fillId="4" borderId="1" xfId="3" applyNumberFormat="1" applyFont="1" applyFill="1" applyBorder="1" applyAlignment="1">
      <alignment horizontal="center" vertical="center"/>
    </xf>
    <xf numFmtId="174" fontId="28" fillId="0" borderId="1" xfId="1" applyNumberFormat="1" applyFont="1" applyFill="1" applyBorder="1" applyAlignment="1">
      <alignment horizontal="left" vertical="center"/>
    </xf>
    <xf numFmtId="174" fontId="15" fillId="0" borderId="8" xfId="0" applyNumberFormat="1" applyFont="1" applyBorder="1" applyAlignment="1">
      <alignment horizontal="left" vertical="center"/>
    </xf>
    <xf numFmtId="174" fontId="28" fillId="0" borderId="13" xfId="1" applyNumberFormat="1" applyFont="1" applyFill="1" applyBorder="1" applyAlignment="1">
      <alignment horizontal="left" vertical="center"/>
    </xf>
    <xf numFmtId="176" fontId="15" fillId="0" borderId="45" xfId="0" applyNumberFormat="1" applyFont="1" applyBorder="1" applyAlignment="1">
      <alignment horizontal="left" vertical="center"/>
    </xf>
    <xf numFmtId="174" fontId="15" fillId="0" borderId="2" xfId="0" applyNumberFormat="1" applyFont="1" applyBorder="1" applyAlignment="1">
      <alignment horizontal="left" vertical="center"/>
    </xf>
    <xf numFmtId="176" fontId="15" fillId="0" borderId="4" xfId="0" applyNumberFormat="1" applyFont="1" applyBorder="1" applyAlignment="1">
      <alignment horizontal="left" vertical="center"/>
    </xf>
    <xf numFmtId="174" fontId="4" fillId="9" borderId="6" xfId="2" applyNumberFormat="1" applyFont="1" applyFill="1" applyBorder="1" applyAlignment="1">
      <alignment horizontal="center" vertical="center"/>
    </xf>
    <xf numFmtId="174" fontId="4" fillId="9" borderId="2" xfId="2" applyNumberFormat="1" applyFont="1" applyFill="1" applyBorder="1" applyAlignment="1">
      <alignment horizontal="center" vertical="center"/>
    </xf>
    <xf numFmtId="174" fontId="6" fillId="3" borderId="6" xfId="2" applyNumberFormat="1" applyFont="1" applyFill="1" applyBorder="1" applyAlignment="1">
      <alignment horizontal="center" vertical="center"/>
    </xf>
    <xf numFmtId="174" fontId="11" fillId="2" borderId="6" xfId="2" applyNumberFormat="1" applyFont="1" applyFill="1" applyBorder="1" applyAlignment="1">
      <alignment horizontal="left" vertical="center"/>
    </xf>
    <xf numFmtId="174" fontId="13" fillId="10" borderId="3" xfId="2" applyNumberFormat="1" applyFont="1" applyFill="1" applyBorder="1" applyAlignment="1">
      <alignment horizontal="center" vertical="center"/>
    </xf>
    <xf numFmtId="174" fontId="14" fillId="0" borderId="9" xfId="3" applyNumberFormat="1" applyFont="1" applyBorder="1" applyAlignment="1">
      <alignment horizontal="left" vertical="center"/>
    </xf>
    <xf numFmtId="174" fontId="15" fillId="4" borderId="10" xfId="3" applyNumberFormat="1" applyFont="1" applyFill="1" applyBorder="1" applyAlignment="1">
      <alignment horizontal="left" vertical="center"/>
    </xf>
    <xf numFmtId="174" fontId="0" fillId="0" borderId="0" xfId="0" applyNumberFormat="1" applyAlignment="1">
      <alignment vertical="center"/>
    </xf>
    <xf numFmtId="174" fontId="4" fillId="9" borderId="12" xfId="2" applyNumberFormat="1" applyFont="1" applyFill="1" applyBorder="1" applyAlignment="1">
      <alignment horizontal="right" vertical="center" wrapText="1"/>
    </xf>
    <xf numFmtId="174" fontId="4" fillId="9" borderId="1" xfId="2" applyNumberFormat="1" applyFont="1" applyFill="1" applyBorder="1" applyAlignment="1">
      <alignment horizontal="right" vertical="center" wrapText="1"/>
    </xf>
    <xf numFmtId="174" fontId="6" fillId="3" borderId="1" xfId="2" applyNumberFormat="1" applyFont="1" applyFill="1" applyBorder="1" applyAlignment="1">
      <alignment horizontal="right" vertical="center" wrapText="1"/>
    </xf>
    <xf numFmtId="174" fontId="9" fillId="0" borderId="9" xfId="6" applyNumberFormat="1" applyFont="1" applyBorder="1" applyAlignment="1">
      <alignment horizontal="right"/>
    </xf>
    <xf numFmtId="174" fontId="5" fillId="4" borderId="5" xfId="3" applyNumberFormat="1" applyFont="1" applyFill="1" applyBorder="1" applyAlignment="1">
      <alignment horizontal="right" vertical="center" wrapText="1"/>
    </xf>
    <xf numFmtId="174" fontId="0" fillId="0" borderId="0" xfId="0" applyNumberFormat="1" applyAlignment="1">
      <alignment horizontal="right"/>
    </xf>
    <xf numFmtId="174" fontId="4" fillId="9" borderId="16" xfId="2" applyNumberFormat="1" applyFont="1" applyFill="1" applyBorder="1" applyAlignment="1">
      <alignment horizontal="center" vertical="center"/>
    </xf>
    <xf numFmtId="174" fontId="4" fillId="9" borderId="10" xfId="2" applyNumberFormat="1" applyFont="1" applyFill="1" applyBorder="1" applyAlignment="1">
      <alignment horizontal="center" vertical="center"/>
    </xf>
    <xf numFmtId="174" fontId="6" fillId="3" borderId="5" xfId="2" applyNumberFormat="1" applyFont="1" applyFill="1" applyBorder="1" applyAlignment="1">
      <alignment horizontal="left" vertical="center"/>
    </xf>
    <xf numFmtId="174" fontId="5" fillId="9" borderId="1" xfId="3" applyNumberFormat="1" applyFont="1" applyFill="1" applyBorder="1" applyAlignment="1">
      <alignment horizontal="left" vertical="center"/>
    </xf>
    <xf numFmtId="174" fontId="5" fillId="0" borderId="1" xfId="3" applyNumberFormat="1" applyFont="1" applyBorder="1" applyAlignment="1">
      <alignment horizontal="left" vertical="center"/>
    </xf>
    <xf numFmtId="174" fontId="1" fillId="0" borderId="1" xfId="3" applyNumberFormat="1" applyBorder="1" applyAlignment="1">
      <alignment horizontal="left" vertical="center" wrapText="1"/>
    </xf>
    <xf numFmtId="174" fontId="4" fillId="10" borderId="3" xfId="2" applyNumberFormat="1" applyFont="1" applyFill="1" applyBorder="1" applyAlignment="1">
      <alignment horizontal="center" vertical="center"/>
    </xf>
    <xf numFmtId="174" fontId="16" fillId="10" borderId="4" xfId="2" applyNumberFormat="1" applyFont="1" applyFill="1" applyBorder="1" applyAlignment="1">
      <alignment horizontal="center" vertical="center"/>
    </xf>
    <xf numFmtId="174" fontId="19" fillId="2" borderId="1" xfId="2" applyNumberFormat="1" applyFont="1" applyFill="1" applyBorder="1" applyAlignment="1">
      <alignment horizontal="left" vertical="center"/>
    </xf>
    <xf numFmtId="174" fontId="1" fillId="0" borderId="0" xfId="3" applyNumberFormat="1" applyAlignment="1">
      <alignment vertical="center"/>
    </xf>
    <xf numFmtId="171" fontId="17" fillId="2" borderId="41" xfId="2" applyNumberFormat="1" applyFont="1" applyFill="1" applyBorder="1" applyAlignment="1">
      <alignment vertical="center"/>
    </xf>
    <xf numFmtId="174" fontId="4" fillId="9" borderId="1" xfId="2" applyNumberFormat="1" applyFont="1" applyFill="1" applyBorder="1" applyAlignment="1">
      <alignment horizontal="center" vertical="center"/>
    </xf>
    <xf numFmtId="49" fontId="0" fillId="0" borderId="0" xfId="0" applyNumberFormat="1" applyAlignment="1">
      <alignment horizontal="center" vertical="center"/>
    </xf>
    <xf numFmtId="49" fontId="1" fillId="0" borderId="46" xfId="0" applyNumberFormat="1" applyFont="1" applyBorder="1"/>
    <xf numFmtId="49" fontId="1" fillId="0" borderId="1" xfId="0" applyNumberFormat="1" applyFont="1" applyBorder="1"/>
    <xf numFmtId="177" fontId="0" fillId="0" borderId="1" xfId="0" applyNumberFormat="1" applyFill="1" applyBorder="1" applyAlignment="1">
      <alignment horizontal="center" wrapText="1"/>
    </xf>
    <xf numFmtId="49" fontId="0" fillId="0" borderId="0" xfId="0" applyNumberFormat="1" applyAlignment="1">
      <alignment wrapText="1"/>
    </xf>
    <xf numFmtId="49" fontId="0" fillId="0" borderId="1" xfId="0" applyNumberFormat="1" applyBorder="1" applyAlignment="1">
      <alignment wrapText="1"/>
    </xf>
    <xf numFmtId="49" fontId="1" fillId="0" borderId="46" xfId="0" applyNumberFormat="1" applyFont="1" applyFill="1" applyBorder="1"/>
    <xf numFmtId="49" fontId="1" fillId="0" borderId="47" xfId="0" applyNumberFormat="1" applyFont="1" applyFill="1" applyBorder="1"/>
    <xf numFmtId="178" fontId="15" fillId="9" borderId="9"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0" xfId="0" applyNumberFormat="1" applyAlignment="1">
      <alignment horizontal="center" vertical="center"/>
    </xf>
    <xf numFmtId="49" fontId="0" fillId="0" borderId="47" xfId="0" applyNumberFormat="1" applyFont="1" applyFill="1" applyBorder="1" applyAlignment="1">
      <alignment horizontal="center" vertical="center" wrapText="1"/>
    </xf>
    <xf numFmtId="49" fontId="0" fillId="0" borderId="46" xfId="0" applyNumberFormat="1" applyFont="1" applyFill="1" applyBorder="1" applyAlignment="1">
      <alignment horizontal="center" vertical="center" wrapText="1"/>
    </xf>
    <xf numFmtId="178" fontId="7" fillId="0" borderId="1" xfId="4" applyNumberFormat="1" applyFont="1" applyBorder="1" applyAlignment="1">
      <alignment horizontal="left" vertical="center" wrapText="1"/>
    </xf>
    <xf numFmtId="174" fontId="0" fillId="0" borderId="1" xfId="4" applyNumberFormat="1" applyFont="1" applyFill="1" applyBorder="1" applyAlignment="1">
      <alignment horizontal="left" vertical="center" wrapText="1" indent="1"/>
    </xf>
    <xf numFmtId="49" fontId="1" fillId="0" borderId="47" xfId="0" applyNumberFormat="1" applyFont="1" applyBorder="1" applyAlignment="1">
      <alignment vertical="center"/>
    </xf>
    <xf numFmtId="0" fontId="2" fillId="9" borderId="1" xfId="0" applyFont="1" applyFill="1" applyBorder="1" applyAlignment="1">
      <alignment horizontal="center" vertical="center" wrapText="1"/>
    </xf>
    <xf numFmtId="174" fontId="0" fillId="0" borderId="1" xfId="0" applyNumberFormat="1" applyBorder="1" applyAlignment="1">
      <alignment horizontal="left" vertical="center" indent="1"/>
    </xf>
    <xf numFmtId="174" fontId="28" fillId="9" borderId="9" xfId="0" applyNumberFormat="1" applyFont="1" applyFill="1" applyBorder="1" applyAlignment="1">
      <alignment horizontal="center" vertical="center" wrapText="1"/>
    </xf>
    <xf numFmtId="174" fontId="29" fillId="0" borderId="2" xfId="0" applyNumberFormat="1" applyFont="1" applyBorder="1" applyAlignment="1">
      <alignment horizontal="left" vertical="center"/>
    </xf>
    <xf numFmtId="174" fontId="29" fillId="0" borderId="4" xfId="1" applyNumberFormat="1" applyFont="1" applyFill="1" applyBorder="1" applyAlignment="1">
      <alignment horizontal="left" vertical="center"/>
    </xf>
    <xf numFmtId="174" fontId="28" fillId="0" borderId="18" xfId="1" applyNumberFormat="1" applyFont="1" applyFill="1" applyBorder="1" applyAlignment="1">
      <alignment horizontal="left" vertical="center"/>
    </xf>
    <xf numFmtId="174" fontId="2" fillId="9" borderId="9" xfId="0" applyNumberFormat="1" applyFont="1" applyFill="1" applyBorder="1" applyAlignment="1">
      <alignment horizontal="center" vertical="center" wrapText="1"/>
    </xf>
    <xf numFmtId="0" fontId="5" fillId="9" borderId="39" xfId="3" applyFont="1" applyFill="1" applyBorder="1" applyAlignment="1">
      <alignment horizontal="left" vertical="center"/>
    </xf>
    <xf numFmtId="0" fontId="4" fillId="10" borderId="1" xfId="2" applyFont="1" applyFill="1" applyBorder="1" applyAlignment="1">
      <alignment vertical="center"/>
    </xf>
    <xf numFmtId="0" fontId="4" fillId="10" borderId="39" xfId="2" applyFont="1" applyFill="1" applyBorder="1" applyAlignment="1">
      <alignment vertical="center"/>
    </xf>
    <xf numFmtId="49" fontId="4" fillId="10" borderId="1" xfId="2" applyNumberFormat="1" applyFont="1" applyFill="1" applyBorder="1" applyAlignment="1">
      <alignment vertical="center"/>
    </xf>
    <xf numFmtId="0" fontId="4" fillId="0" borderId="1" xfId="2" applyFont="1" applyBorder="1" applyAlignment="1">
      <alignment vertical="center"/>
    </xf>
    <xf numFmtId="0" fontId="4" fillId="0" borderId="39" xfId="2" applyFont="1" applyBorder="1" applyAlignment="1">
      <alignment vertical="center"/>
    </xf>
    <xf numFmtId="0" fontId="4" fillId="10" borderId="2" xfId="2" applyFont="1" applyFill="1" applyBorder="1" applyAlignment="1">
      <alignment vertical="center"/>
    </xf>
    <xf numFmtId="0" fontId="4" fillId="10" borderId="3" xfId="2" applyFont="1" applyFill="1" applyBorder="1" applyAlignment="1">
      <alignment vertical="center"/>
    </xf>
    <xf numFmtId="0" fontId="16" fillId="10" borderId="2" xfId="2" applyFont="1" applyFill="1" applyBorder="1" applyAlignment="1">
      <alignment vertical="center"/>
    </xf>
    <xf numFmtId="0" fontId="16" fillId="10" borderId="3" xfId="2" applyFont="1" applyFill="1" applyBorder="1" applyAlignment="1">
      <alignment vertical="center"/>
    </xf>
    <xf numFmtId="0" fontId="16" fillId="10" borderId="4" xfId="2" applyFont="1" applyFill="1" applyBorder="1" applyAlignment="1">
      <alignment vertical="center"/>
    </xf>
    <xf numFmtId="0" fontId="2" fillId="0" borderId="0" xfId="0" applyFont="1"/>
    <xf numFmtId="174" fontId="2" fillId="0" borderId="0" xfId="0" applyNumberFormat="1" applyFont="1"/>
    <xf numFmtId="179" fontId="0" fillId="0" borderId="0" xfId="0" applyNumberFormat="1"/>
    <xf numFmtId="49" fontId="0" fillId="0" borderId="46" xfId="0" applyNumberFormat="1" applyFont="1" applyFill="1" applyBorder="1" applyAlignment="1">
      <alignment wrapText="1"/>
    </xf>
    <xf numFmtId="49" fontId="0" fillId="0" borderId="47" xfId="0" applyNumberFormat="1" applyFont="1" applyFill="1" applyBorder="1" applyAlignment="1">
      <alignment wrapText="1"/>
    </xf>
    <xf numFmtId="49" fontId="0" fillId="0" borderId="0" xfId="0" applyNumberFormat="1" applyAlignment="1">
      <alignment horizontal="center" vertical="center" wrapText="1"/>
    </xf>
    <xf numFmtId="174" fontId="0" fillId="0" borderId="1" xfId="0" applyNumberFormat="1" applyBorder="1" applyAlignment="1">
      <alignment horizontal="left" vertical="center" indent="1"/>
    </xf>
    <xf numFmtId="177" fontId="15" fillId="9" borderId="9" xfId="0" applyNumberFormat="1" applyFont="1" applyFill="1" applyBorder="1" applyAlignment="1">
      <alignment horizontal="center" vertical="center"/>
    </xf>
    <xf numFmtId="177" fontId="0" fillId="0" borderId="1" xfId="0" applyNumberFormat="1" applyBorder="1" applyAlignment="1">
      <alignment horizontal="center" vertical="center"/>
    </xf>
    <xf numFmtId="177" fontId="0" fillId="0" borderId="0" xfId="0" applyNumberFormat="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left" vertical="center" indent="1"/>
    </xf>
    <xf numFmtId="174" fontId="0" fillId="8" borderId="1" xfId="0" applyNumberFormat="1" applyFill="1" applyBorder="1" applyAlignment="1">
      <alignment horizontal="center" vertical="center"/>
    </xf>
    <xf numFmtId="1" fontId="0" fillId="8" borderId="1" xfId="0" applyNumberFormat="1" applyFill="1" applyBorder="1" applyAlignment="1">
      <alignment horizontal="center" vertical="center"/>
    </xf>
    <xf numFmtId="177" fontId="0" fillId="8" borderId="1" xfId="0" applyNumberFormat="1" applyFill="1" applyBorder="1" applyAlignment="1">
      <alignment horizontal="center" vertical="center"/>
    </xf>
    <xf numFmtId="178" fontId="0" fillId="8" borderId="1" xfId="0" applyNumberFormat="1" applyFill="1" applyBorder="1" applyAlignment="1">
      <alignment horizontal="center" vertical="center"/>
    </xf>
    <xf numFmtId="174" fontId="7" fillId="0" borderId="1" xfId="4" applyNumberFormat="1" applyFont="1" applyFill="1" applyBorder="1" applyAlignment="1">
      <alignment horizontal="left" vertical="center" wrapText="1" indent="1"/>
    </xf>
    <xf numFmtId="49" fontId="1" fillId="0" borderId="47" xfId="0" applyNumberFormat="1" applyFont="1" applyBorder="1"/>
    <xf numFmtId="174" fontId="0" fillId="0" borderId="1" xfId="0" applyNumberFormat="1" applyBorder="1" applyAlignment="1">
      <alignment horizontal="center" vertical="center" wrapText="1"/>
    </xf>
    <xf numFmtId="49" fontId="0" fillId="0" borderId="46" xfId="0" applyNumberFormat="1" applyFont="1" applyBorder="1" applyAlignment="1">
      <alignment wrapText="1"/>
    </xf>
    <xf numFmtId="49" fontId="0" fillId="0" borderId="47" xfId="0" applyNumberFormat="1" applyFont="1" applyBorder="1" applyAlignment="1">
      <alignment wrapText="1"/>
    </xf>
    <xf numFmtId="0" fontId="18" fillId="11" borderId="38" xfId="2" applyFont="1" applyFill="1" applyBorder="1" applyAlignment="1">
      <alignment horizontal="center" vertical="center"/>
    </xf>
    <xf numFmtId="0" fontId="18" fillId="11" borderId="4" xfId="2" applyFont="1" applyFill="1" applyBorder="1" applyAlignment="1">
      <alignment horizontal="center" vertical="center"/>
    </xf>
    <xf numFmtId="0" fontId="17" fillId="2" borderId="43" xfId="2" applyFont="1" applyFill="1" applyBorder="1" applyAlignment="1">
      <alignment horizontal="center" vertical="center"/>
    </xf>
    <xf numFmtId="0" fontId="17" fillId="2" borderId="44" xfId="2" applyFont="1" applyFill="1" applyBorder="1" applyAlignment="1">
      <alignment horizontal="center" vertical="center"/>
    </xf>
    <xf numFmtId="0" fontId="31" fillId="8" borderId="29" xfId="2" applyFont="1" applyFill="1" applyBorder="1" applyAlignment="1">
      <alignment horizontal="center" vertical="center" wrapText="1"/>
    </xf>
    <xf numFmtId="0" fontId="31" fillId="8" borderId="30" xfId="2" applyFont="1" applyFill="1" applyBorder="1" applyAlignment="1">
      <alignment horizontal="center" vertical="center" wrapText="1"/>
    </xf>
    <xf numFmtId="0" fontId="31" fillId="8" borderId="31" xfId="2" applyFont="1" applyFill="1" applyBorder="1" applyAlignment="1">
      <alignment horizontal="center" vertical="center" wrapText="1"/>
    </xf>
    <xf numFmtId="0" fontId="2" fillId="12" borderId="12" xfId="0" applyFont="1" applyFill="1" applyBorder="1" applyAlignment="1">
      <alignment horizontal="center" vertical="center"/>
    </xf>
    <xf numFmtId="0" fontId="4" fillId="4" borderId="2" xfId="2" applyFont="1" applyFill="1" applyBorder="1" applyAlignment="1">
      <alignment horizontal="center" vertical="center"/>
    </xf>
    <xf numFmtId="0" fontId="4" fillId="4" borderId="3" xfId="2" applyFont="1" applyFill="1" applyBorder="1" applyAlignment="1">
      <alignment horizontal="center" vertical="center"/>
    </xf>
    <xf numFmtId="0" fontId="11" fillId="4" borderId="2" xfId="2" applyFont="1" applyFill="1" applyBorder="1" applyAlignment="1">
      <alignment horizontal="center" vertical="center"/>
    </xf>
    <xf numFmtId="0" fontId="11" fillId="4" borderId="4" xfId="2" applyFont="1" applyFill="1" applyBorder="1" applyAlignment="1">
      <alignment horizontal="center" vertical="center"/>
    </xf>
    <xf numFmtId="0" fontId="2" fillId="8" borderId="23" xfId="0" applyFont="1" applyFill="1" applyBorder="1" applyAlignment="1">
      <alignment horizontal="center" vertical="center"/>
    </xf>
    <xf numFmtId="0" fontId="2" fillId="8" borderId="24" xfId="0" applyFont="1" applyFill="1" applyBorder="1" applyAlignment="1">
      <alignment horizontal="center" vertical="center"/>
    </xf>
    <xf numFmtId="0" fontId="2" fillId="8" borderId="25" xfId="0" applyFont="1" applyFill="1" applyBorder="1" applyAlignment="1">
      <alignment horizontal="center" vertical="center"/>
    </xf>
    <xf numFmtId="0" fontId="2" fillId="8" borderId="26" xfId="0" applyFont="1" applyFill="1" applyBorder="1" applyAlignment="1">
      <alignment horizontal="center" vertical="center"/>
    </xf>
    <xf numFmtId="0" fontId="2" fillId="8" borderId="27" xfId="0" applyFont="1" applyFill="1" applyBorder="1" applyAlignment="1">
      <alignment horizontal="center" vertical="center"/>
    </xf>
    <xf numFmtId="0" fontId="2" fillId="8" borderId="28" xfId="0" applyFont="1" applyFill="1" applyBorder="1" applyAlignment="1">
      <alignment horizontal="center" vertical="center"/>
    </xf>
    <xf numFmtId="0" fontId="4" fillId="12" borderId="32" xfId="2" applyFont="1" applyFill="1" applyBorder="1" applyAlignment="1">
      <alignment horizontal="center" vertical="center" wrapText="1"/>
    </xf>
    <xf numFmtId="0" fontId="4" fillId="12" borderId="0" xfId="2" applyFont="1" applyFill="1" applyBorder="1" applyAlignment="1">
      <alignment horizontal="center" vertical="center" wrapText="1"/>
    </xf>
    <xf numFmtId="0" fontId="4" fillId="4" borderId="2" xfId="2" applyFont="1" applyFill="1" applyBorder="1" applyAlignment="1">
      <alignment horizontal="center" vertical="center" wrapText="1"/>
    </xf>
    <xf numFmtId="0" fontId="4" fillId="4" borderId="3" xfId="2" applyFont="1" applyFill="1" applyBorder="1" applyAlignment="1">
      <alignment horizontal="center" vertical="center" wrapText="1"/>
    </xf>
    <xf numFmtId="0" fontId="2" fillId="9" borderId="1" xfId="0" applyFont="1" applyFill="1" applyBorder="1" applyAlignment="1">
      <alignment horizontal="center" vertical="center" wrapText="1"/>
    </xf>
    <xf numFmtId="0" fontId="4" fillId="2" borderId="2" xfId="2" applyFont="1" applyFill="1" applyBorder="1" applyAlignment="1">
      <alignment horizontal="left" vertical="center" wrapText="1"/>
    </xf>
    <xf numFmtId="0" fontId="4" fillId="2" borderId="3" xfId="2" applyFont="1" applyFill="1" applyBorder="1" applyAlignment="1">
      <alignment horizontal="left" vertical="center" wrapText="1"/>
    </xf>
    <xf numFmtId="0" fontId="4" fillId="2" borderId="4" xfId="2" applyFont="1" applyFill="1" applyBorder="1" applyAlignment="1">
      <alignment horizontal="left" vertical="center" wrapText="1"/>
    </xf>
    <xf numFmtId="0" fontId="4" fillId="9" borderId="7" xfId="2" applyFont="1" applyFill="1" applyBorder="1" applyAlignment="1">
      <alignment horizontal="center" vertical="center" wrapText="1"/>
    </xf>
    <xf numFmtId="0" fontId="4" fillId="9" borderId="12" xfId="2" applyFont="1" applyFill="1" applyBorder="1" applyAlignment="1">
      <alignment horizontal="center" vertical="center" wrapText="1"/>
    </xf>
    <xf numFmtId="0" fontId="4" fillId="9" borderId="19" xfId="2" applyFont="1" applyFill="1" applyBorder="1" applyAlignment="1">
      <alignment horizontal="center" vertical="center" wrapText="1"/>
    </xf>
    <xf numFmtId="0" fontId="4" fillId="9" borderId="1" xfId="2" applyFont="1" applyFill="1" applyBorder="1" applyAlignment="1">
      <alignment horizontal="center" vertical="center" wrapText="1"/>
    </xf>
    <xf numFmtId="0" fontId="5" fillId="9" borderId="1" xfId="3" applyFont="1" applyFill="1" applyBorder="1" applyAlignment="1">
      <alignment horizontal="center" vertical="center" wrapText="1"/>
    </xf>
    <xf numFmtId="49" fontId="10" fillId="9" borderId="2" xfId="0" applyNumberFormat="1" applyFont="1" applyFill="1" applyBorder="1" applyAlignment="1">
      <alignment horizontal="left" vertical="center"/>
    </xf>
    <xf numFmtId="49" fontId="10" fillId="9" borderId="3" xfId="0" applyNumberFormat="1" applyFont="1" applyFill="1" applyBorder="1" applyAlignment="1">
      <alignment horizontal="left" vertical="center"/>
    </xf>
    <xf numFmtId="0" fontId="28" fillId="6" borderId="2" xfId="0" applyFont="1" applyFill="1" applyBorder="1" applyAlignment="1">
      <alignment horizontal="left" vertical="center"/>
    </xf>
    <xf numFmtId="0" fontId="28" fillId="6" borderId="4" xfId="0" applyFont="1" applyFill="1" applyBorder="1" applyAlignment="1">
      <alignment horizontal="left" vertical="center"/>
    </xf>
    <xf numFmtId="0" fontId="29" fillId="0" borderId="2" xfId="0" applyFont="1" applyBorder="1" applyAlignment="1">
      <alignment horizontal="left" vertical="center"/>
    </xf>
    <xf numFmtId="0" fontId="29" fillId="0" borderId="4" xfId="0" applyFont="1" applyBorder="1" applyAlignment="1">
      <alignment horizontal="left" vertical="center"/>
    </xf>
    <xf numFmtId="0" fontId="4" fillId="13" borderId="7" xfId="2" applyFont="1" applyFill="1" applyBorder="1" applyAlignment="1">
      <alignment horizontal="center" vertical="center" wrapText="1"/>
    </xf>
    <xf numFmtId="0" fontId="4" fillId="13" borderId="12" xfId="2" applyFont="1" applyFill="1" applyBorder="1" applyAlignment="1">
      <alignment horizontal="center" vertical="center" wrapText="1"/>
    </xf>
    <xf numFmtId="0" fontId="2" fillId="8" borderId="23" xfId="0" applyFont="1" applyFill="1" applyBorder="1" applyAlignment="1">
      <alignment horizontal="left" vertical="center"/>
    </xf>
    <xf numFmtId="0" fontId="2" fillId="8" borderId="24" xfId="0" applyFont="1" applyFill="1" applyBorder="1" applyAlignment="1">
      <alignment horizontal="left" vertical="center"/>
    </xf>
    <xf numFmtId="0" fontId="2" fillId="8" borderId="25" xfId="0" applyFont="1" applyFill="1" applyBorder="1" applyAlignment="1">
      <alignment horizontal="left" vertical="center"/>
    </xf>
    <xf numFmtId="0" fontId="2" fillId="8" borderId="26" xfId="0" applyFont="1" applyFill="1" applyBorder="1" applyAlignment="1">
      <alignment horizontal="left" vertical="center"/>
    </xf>
    <xf numFmtId="0" fontId="2" fillId="8" borderId="27" xfId="0" applyFont="1" applyFill="1" applyBorder="1" applyAlignment="1">
      <alignment horizontal="left" vertical="center"/>
    </xf>
    <xf numFmtId="0" fontId="2" fillId="8" borderId="28" xfId="0" applyFont="1" applyFill="1" applyBorder="1" applyAlignment="1">
      <alignment horizontal="left" vertical="center"/>
    </xf>
    <xf numFmtId="166" fontId="15" fillId="0" borderId="14" xfId="0" applyNumberFormat="1" applyFont="1" applyBorder="1" applyAlignment="1">
      <alignment horizontal="left" vertical="center"/>
    </xf>
    <xf numFmtId="166" fontId="15" fillId="0" borderId="15" xfId="0" applyNumberFormat="1"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30" fillId="0" borderId="2" xfId="0" applyFont="1" applyBorder="1" applyAlignment="1">
      <alignment horizontal="left" vertical="center"/>
    </xf>
    <xf numFmtId="0" fontId="30" fillId="0" borderId="4" xfId="0" applyFont="1" applyBorder="1" applyAlignment="1">
      <alignment horizontal="left" vertical="center"/>
    </xf>
    <xf numFmtId="0" fontId="15" fillId="0" borderId="17" xfId="0" applyFont="1" applyBorder="1" applyAlignment="1">
      <alignment horizontal="left" vertical="center"/>
    </xf>
    <xf numFmtId="0" fontId="11" fillId="9" borderId="1" xfId="2" applyFont="1" applyFill="1" applyBorder="1" applyAlignment="1">
      <alignment horizontal="center" vertical="center"/>
    </xf>
    <xf numFmtId="0" fontId="4" fillId="9" borderId="1" xfId="2" applyFont="1" applyFill="1" applyBorder="1" applyAlignment="1">
      <alignment horizontal="left" vertical="center"/>
    </xf>
    <xf numFmtId="0" fontId="13" fillId="0" borderId="2" xfId="2" applyFont="1" applyBorder="1" applyAlignment="1">
      <alignment horizontal="center" vertical="center"/>
    </xf>
    <xf numFmtId="0" fontId="13" fillId="0" borderId="3" xfId="2" applyFont="1" applyBorder="1" applyAlignment="1">
      <alignment horizontal="center" vertical="center"/>
    </xf>
    <xf numFmtId="0" fontId="2" fillId="12" borderId="0" xfId="0" applyFont="1" applyFill="1" applyAlignment="1">
      <alignment horizontal="center" vertical="center"/>
    </xf>
    <xf numFmtId="0" fontId="2" fillId="9" borderId="12" xfId="0" applyFont="1" applyFill="1" applyBorder="1" applyAlignment="1">
      <alignment horizontal="center" vertical="center"/>
    </xf>
    <xf numFmtId="0" fontId="4" fillId="9" borderId="9" xfId="2" applyFont="1" applyFill="1" applyBorder="1" applyAlignment="1">
      <alignment horizontal="center" vertical="center"/>
    </xf>
    <xf numFmtId="0" fontId="4" fillId="9" borderId="1" xfId="2" applyFont="1" applyFill="1" applyBorder="1" applyAlignment="1">
      <alignment horizontal="center" vertical="center"/>
    </xf>
    <xf numFmtId="0" fontId="4" fillId="9" borderId="9" xfId="2" applyFont="1" applyFill="1" applyBorder="1" applyAlignment="1">
      <alignment horizontal="left" vertical="center"/>
    </xf>
    <xf numFmtId="0" fontId="4" fillId="0" borderId="8" xfId="2" applyFont="1" applyBorder="1" applyAlignment="1">
      <alignment horizontal="center" vertical="center"/>
    </xf>
    <xf numFmtId="0" fontId="4" fillId="0" borderId="6" xfId="2" applyFont="1" applyBorder="1" applyAlignment="1">
      <alignment horizontal="center" vertical="center"/>
    </xf>
    <xf numFmtId="0" fontId="5" fillId="12" borderId="1" xfId="0" applyFont="1" applyFill="1" applyBorder="1" applyAlignment="1">
      <alignment horizontal="center" vertical="center"/>
    </xf>
    <xf numFmtId="0" fontId="5" fillId="9" borderId="1" xfId="0" applyFont="1" applyFill="1" applyBorder="1" applyAlignment="1">
      <alignment horizontal="center" vertical="center"/>
    </xf>
    <xf numFmtId="0" fontId="0" fillId="0" borderId="10" xfId="0" applyBorder="1" applyAlignment="1">
      <alignment horizontal="left" vertical="center" indent="1"/>
    </xf>
    <xf numFmtId="0" fontId="0" fillId="0" borderId="5" xfId="0" applyBorder="1" applyAlignment="1">
      <alignment horizontal="left" vertical="center" indent="1"/>
    </xf>
    <xf numFmtId="0" fontId="0" fillId="0" borderId="10" xfId="0" applyBorder="1" applyAlignment="1">
      <alignment horizontal="left" vertical="center" wrapText="1" indent="1"/>
    </xf>
    <xf numFmtId="0" fontId="0" fillId="0" borderId="5" xfId="0" applyBorder="1" applyAlignment="1">
      <alignment horizontal="left" vertical="center" wrapText="1" indent="1"/>
    </xf>
    <xf numFmtId="0" fontId="2" fillId="9" borderId="2" xfId="0" applyFont="1" applyFill="1" applyBorder="1" applyAlignment="1">
      <alignment horizontal="left" vertical="center" wrapText="1" indent="1"/>
    </xf>
    <xf numFmtId="0" fontId="2" fillId="9" borderId="3" xfId="0" applyFont="1" applyFill="1" applyBorder="1" applyAlignment="1">
      <alignment horizontal="left" vertical="center" wrapText="1" indent="1"/>
    </xf>
    <xf numFmtId="174" fontId="0" fillId="0" borderId="1" xfId="0" applyNumberFormat="1" applyBorder="1" applyAlignment="1">
      <alignment horizontal="left" vertical="center" indent="1"/>
    </xf>
    <xf numFmtId="0" fontId="0" fillId="0" borderId="9" xfId="0" applyBorder="1" applyAlignment="1">
      <alignment horizontal="left" vertical="center" indent="1"/>
    </xf>
    <xf numFmtId="0" fontId="0" fillId="0" borderId="9" xfId="0" applyBorder="1" applyAlignment="1">
      <alignment horizontal="left" vertical="center" wrapText="1" indent="1"/>
    </xf>
    <xf numFmtId="0" fontId="2" fillId="9" borderId="7" xfId="0" applyFont="1" applyFill="1" applyBorder="1" applyAlignment="1">
      <alignment horizontal="center" vertical="center"/>
    </xf>
    <xf numFmtId="0" fontId="2" fillId="9" borderId="19" xfId="0" applyFont="1" applyFill="1" applyBorder="1" applyAlignment="1">
      <alignment horizontal="center" vertical="center"/>
    </xf>
    <xf numFmtId="0" fontId="2" fillId="0" borderId="2" xfId="0" applyFont="1" applyBorder="1" applyAlignment="1">
      <alignment horizontal="left" vertical="center" indent="1"/>
    </xf>
    <xf numFmtId="0" fontId="2" fillId="0" borderId="3" xfId="0" applyFont="1" applyBorder="1" applyAlignment="1">
      <alignment horizontal="left" vertical="center" indent="1"/>
    </xf>
    <xf numFmtId="0" fontId="4" fillId="12" borderId="14" xfId="2" applyFont="1" applyFill="1" applyBorder="1" applyAlignment="1">
      <alignment horizontal="center" vertical="center" wrapText="1"/>
    </xf>
    <xf numFmtId="0" fontId="4" fillId="12" borderId="15" xfId="2" applyFont="1" applyFill="1" applyBorder="1" applyAlignment="1">
      <alignment horizontal="center" vertical="center" wrapText="1"/>
    </xf>
    <xf numFmtId="0" fontId="4" fillId="12" borderId="18" xfId="2" applyFont="1" applyFill="1" applyBorder="1" applyAlignment="1">
      <alignment horizontal="center" vertical="center" wrapText="1"/>
    </xf>
    <xf numFmtId="0" fontId="27" fillId="9" borderId="2" xfId="0" applyFont="1" applyFill="1" applyBorder="1" applyAlignment="1">
      <alignment horizontal="center" vertical="center"/>
    </xf>
    <xf numFmtId="0" fontId="27" fillId="9" borderId="3" xfId="0" applyFont="1" applyFill="1" applyBorder="1" applyAlignment="1">
      <alignment horizontal="center" vertical="center"/>
    </xf>
    <xf numFmtId="0" fontId="32" fillId="12" borderId="20" xfId="0" applyFont="1" applyFill="1" applyBorder="1" applyAlignment="1">
      <alignment horizontal="center" vertical="center"/>
    </xf>
    <xf numFmtId="0" fontId="32" fillId="12" borderId="21" xfId="0" applyFont="1" applyFill="1" applyBorder="1" applyAlignment="1">
      <alignment horizontal="center" vertical="center"/>
    </xf>
    <xf numFmtId="0" fontId="32" fillId="12" borderId="22" xfId="0" applyFont="1" applyFill="1" applyBorder="1" applyAlignment="1">
      <alignment horizontal="center" vertical="center"/>
    </xf>
    <xf numFmtId="0" fontId="27" fillId="9" borderId="9" xfId="0" applyFont="1" applyFill="1" applyBorder="1" applyAlignment="1">
      <alignment horizontal="center" vertical="center"/>
    </xf>
    <xf numFmtId="0" fontId="2" fillId="0" borderId="0" xfId="0" applyFont="1" applyAlignment="1">
      <alignment horizontal="center" vertical="center"/>
    </xf>
    <xf numFmtId="0" fontId="27" fillId="12" borderId="14" xfId="0" applyFont="1" applyFill="1" applyBorder="1" applyAlignment="1">
      <alignment horizontal="center" vertical="center"/>
    </xf>
    <xf numFmtId="0" fontId="27" fillId="12" borderId="15" xfId="0" applyFont="1" applyFill="1" applyBorder="1" applyAlignment="1">
      <alignment horizontal="center" vertical="center"/>
    </xf>
    <xf numFmtId="0" fontId="27" fillId="12" borderId="18" xfId="0" applyFont="1" applyFill="1" applyBorder="1" applyAlignment="1">
      <alignment horizontal="center" vertical="center"/>
    </xf>
    <xf numFmtId="0" fontId="2" fillId="9" borderId="2" xfId="0" applyFont="1" applyFill="1" applyBorder="1" applyAlignment="1">
      <alignment horizontal="left" vertical="center" indent="1"/>
    </xf>
    <xf numFmtId="0" fontId="2" fillId="9" borderId="4" xfId="0" applyFont="1" applyFill="1" applyBorder="1" applyAlignment="1">
      <alignment horizontal="left" vertical="center" indent="1"/>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15" fillId="8"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2" fillId="12" borderId="14" xfId="0" applyFont="1" applyFill="1" applyBorder="1" applyAlignment="1">
      <alignment horizontal="center" vertical="center"/>
    </xf>
    <xf numFmtId="0" fontId="2" fillId="12" borderId="15" xfId="0" applyFont="1" applyFill="1" applyBorder="1" applyAlignment="1">
      <alignment horizontal="center" vertical="center"/>
    </xf>
    <xf numFmtId="0" fontId="2" fillId="12" borderId="18" xfId="0" applyFont="1" applyFill="1" applyBorder="1" applyAlignment="1">
      <alignment horizontal="center" vertical="center"/>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xf>
    <xf numFmtId="0" fontId="27" fillId="14" borderId="25" xfId="0" applyFont="1" applyFill="1" applyBorder="1" applyAlignment="1">
      <alignment horizontal="left" vertical="top"/>
    </xf>
    <xf numFmtId="0" fontId="27" fillId="14" borderId="32" xfId="0" applyFont="1" applyFill="1" applyBorder="1" applyAlignment="1">
      <alignment horizontal="left" vertical="top"/>
    </xf>
    <xf numFmtId="0" fontId="27" fillId="14" borderId="0" xfId="0" applyFont="1" applyFill="1" applyBorder="1" applyAlignment="1">
      <alignment horizontal="left" vertical="top"/>
    </xf>
    <xf numFmtId="0" fontId="27" fillId="14" borderId="35" xfId="0" applyFont="1" applyFill="1" applyBorder="1" applyAlignment="1">
      <alignment horizontal="left" vertical="top"/>
    </xf>
    <xf numFmtId="0" fontId="27" fillId="14" borderId="26" xfId="0" applyFont="1" applyFill="1" applyBorder="1" applyAlignment="1">
      <alignment horizontal="left" vertical="top"/>
    </xf>
    <xf numFmtId="0" fontId="27" fillId="14" borderId="27" xfId="0" applyFont="1" applyFill="1" applyBorder="1" applyAlignment="1">
      <alignment horizontal="left" vertical="top"/>
    </xf>
    <xf numFmtId="0" fontId="27" fillId="14" borderId="28" xfId="0" applyFont="1" applyFill="1" applyBorder="1" applyAlignment="1">
      <alignment horizontal="left" vertical="top"/>
    </xf>
  </cellXfs>
  <cellStyles count="20">
    <cellStyle name="Comma" xfId="4" builtinId="3"/>
    <cellStyle name="Comma 2" xfId="6"/>
    <cellStyle name="Currency" xfId="1" builtinId="4"/>
    <cellStyle name="Excel Built-in Normal" xfId="7"/>
    <cellStyle name="Normal" xfId="0" builtinId="0"/>
    <cellStyle name="Normal 2" xfId="2"/>
    <cellStyle name="Normal 3" xfId="3"/>
    <cellStyle name="Normal 4 2" xfId="5"/>
    <cellStyle name="Normal 52" xfId="9"/>
    <cellStyle name="Normal 54" xfId="10"/>
    <cellStyle name="Normal 56" xfId="11"/>
    <cellStyle name="Normal 57" xfId="12"/>
    <cellStyle name="Normal 58" xfId="13"/>
    <cellStyle name="Normal 59" xfId="17"/>
    <cellStyle name="Normal 60" xfId="14"/>
    <cellStyle name="Normal 61" xfId="18"/>
    <cellStyle name="Normal 62" xfId="15"/>
    <cellStyle name="Normal 63" xfId="19"/>
    <cellStyle name="Normal 64" xfId="16"/>
    <cellStyle name="Normal 77" xfId="8"/>
  </cellStyles>
  <dxfs count="2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Budget Vs Actual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26790384075372"/>
          <c:y val="0.12030000000000002"/>
          <c:w val="0.85254405621913587"/>
          <c:h val="0.68617191601049865"/>
        </c:manualLayout>
      </c:layout>
      <c:barChart>
        <c:barDir val="col"/>
        <c:grouping val="clustered"/>
        <c:varyColors val="0"/>
        <c:ser>
          <c:idx val="0"/>
          <c:order val="0"/>
          <c:tx>
            <c:strRef>
              <c:f>Sheet1!$B$1</c:f>
              <c:strCache>
                <c:ptCount val="1"/>
                <c:pt idx="0">
                  <c:v>Budgeted 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Sheet1!$A$2:$A$12</c15:sqref>
                  </c15:fullRef>
                </c:ext>
              </c:extLst>
              <c:f>Sheet1!$A$2:$A$11</c:f>
              <c:strCache>
                <c:ptCount val="10"/>
                <c:pt idx="0">
                  <c:v>Annexure I</c:v>
                </c:pt>
                <c:pt idx="1">
                  <c:v>Annexure II</c:v>
                </c:pt>
                <c:pt idx="2">
                  <c:v>Annexure III</c:v>
                </c:pt>
                <c:pt idx="3">
                  <c:v>Annexure IV</c:v>
                </c:pt>
                <c:pt idx="4">
                  <c:v>Annexure V</c:v>
                </c:pt>
                <c:pt idx="5">
                  <c:v>Annexure VI</c:v>
                </c:pt>
                <c:pt idx="6">
                  <c:v>Annexure VII</c:v>
                </c:pt>
                <c:pt idx="7">
                  <c:v>Annexure VIII</c:v>
                </c:pt>
                <c:pt idx="8">
                  <c:v>Annexure IX</c:v>
                </c:pt>
                <c:pt idx="9">
                  <c:v>Annexure X</c:v>
                </c:pt>
              </c:strCache>
            </c:strRef>
          </c:cat>
          <c:val>
            <c:numRef>
              <c:extLst>
                <c:ext xmlns:c15="http://schemas.microsoft.com/office/drawing/2012/chart" uri="{02D57815-91ED-43cb-92C2-25804820EDAC}">
                  <c15:fullRef>
                    <c15:sqref>Sheet1!$B$2:$B$12</c15:sqref>
                  </c15:fullRef>
                </c:ext>
              </c:extLst>
              <c:f>Sheet1!$B$2:$B$11</c:f>
              <c:numCache>
                <c:formatCode>[$USD]\ 0.00,,\ "M"</c:formatCode>
                <c:ptCount val="10"/>
                <c:pt idx="0">
                  <c:v>179850</c:v>
                </c:pt>
                <c:pt idx="1">
                  <c:v>36193</c:v>
                </c:pt>
                <c:pt idx="2">
                  <c:v>936075</c:v>
                </c:pt>
                <c:pt idx="3">
                  <c:v>275000</c:v>
                </c:pt>
                <c:pt idx="4">
                  <c:v>917500</c:v>
                </c:pt>
                <c:pt idx="5">
                  <c:v>6475383.5600000005</c:v>
                </c:pt>
                <c:pt idx="6">
                  <c:v>1760997</c:v>
                </c:pt>
                <c:pt idx="7">
                  <c:v>1320000</c:v>
                </c:pt>
                <c:pt idx="8">
                  <c:v>1856500</c:v>
                </c:pt>
                <c:pt idx="9">
                  <c:v>4946840</c:v>
                </c:pt>
              </c:numCache>
            </c:numRef>
          </c:val>
          <c:extLst>
            <c:ext xmlns:c16="http://schemas.microsoft.com/office/drawing/2014/chart" uri="{C3380CC4-5D6E-409C-BE32-E72D297353CC}">
              <c16:uniqueId val="{00000000-BB23-4053-B222-75C652A37F67}"/>
            </c:ext>
          </c:extLst>
        </c:ser>
        <c:ser>
          <c:idx val="1"/>
          <c:order val="1"/>
          <c:tx>
            <c:strRef>
              <c:f>Sheet1!$C$1</c:f>
              <c:strCache>
                <c:ptCount val="1"/>
                <c:pt idx="0">
                  <c:v>Actual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Sheet1!$A$2:$A$12</c15:sqref>
                  </c15:fullRef>
                </c:ext>
              </c:extLst>
              <c:f>Sheet1!$A$2:$A$11</c:f>
              <c:strCache>
                <c:ptCount val="10"/>
                <c:pt idx="0">
                  <c:v>Annexure I</c:v>
                </c:pt>
                <c:pt idx="1">
                  <c:v>Annexure II</c:v>
                </c:pt>
                <c:pt idx="2">
                  <c:v>Annexure III</c:v>
                </c:pt>
                <c:pt idx="3">
                  <c:v>Annexure IV</c:v>
                </c:pt>
                <c:pt idx="4">
                  <c:v>Annexure V</c:v>
                </c:pt>
                <c:pt idx="5">
                  <c:v>Annexure VI</c:v>
                </c:pt>
                <c:pt idx="6">
                  <c:v>Annexure VII</c:v>
                </c:pt>
                <c:pt idx="7">
                  <c:v>Annexure VIII</c:v>
                </c:pt>
                <c:pt idx="8">
                  <c:v>Annexure IX</c:v>
                </c:pt>
                <c:pt idx="9">
                  <c:v>Annexure X</c:v>
                </c:pt>
              </c:strCache>
            </c:strRef>
          </c:cat>
          <c:val>
            <c:numRef>
              <c:extLst>
                <c:ext xmlns:c15="http://schemas.microsoft.com/office/drawing/2012/chart" uri="{02D57815-91ED-43cb-92C2-25804820EDAC}">
                  <c15:fullRef>
                    <c15:sqref>Sheet1!$C$2:$C$12</c15:sqref>
                  </c15:fullRef>
                </c:ext>
              </c:extLst>
              <c:f>Sheet1!$C$2:$C$11</c:f>
              <c:numCache>
                <c:formatCode>[$USD]\ 0.00,,\ "M"</c:formatCode>
                <c:ptCount val="10"/>
                <c:pt idx="0">
                  <c:v>0</c:v>
                </c:pt>
                <c:pt idx="1">
                  <c:v>20621.784274999998</c:v>
                </c:pt>
                <c:pt idx="2">
                  <c:v>886356.69</c:v>
                </c:pt>
                <c:pt idx="3">
                  <c:v>127321</c:v>
                </c:pt>
                <c:pt idx="4">
                  <c:v>692348</c:v>
                </c:pt>
                <c:pt idx="5">
                  <c:v>6527134.031969999</c:v>
                </c:pt>
                <c:pt idx="6">
                  <c:v>1534282.4024799999</c:v>
                </c:pt>
                <c:pt idx="7">
                  <c:v>712385.22364000021</c:v>
                </c:pt>
                <c:pt idx="8">
                  <c:v>1107431.4560949001</c:v>
                </c:pt>
                <c:pt idx="9">
                  <c:v>3498986.6248565</c:v>
                </c:pt>
              </c:numCache>
            </c:numRef>
          </c:val>
          <c:extLst>
            <c:ext xmlns:c16="http://schemas.microsoft.com/office/drawing/2014/chart" uri="{C3380CC4-5D6E-409C-BE32-E72D297353CC}">
              <c16:uniqueId val="{00000001-BB23-4053-B222-75C652A37F67}"/>
            </c:ext>
          </c:extLst>
        </c:ser>
        <c:dLbls>
          <c:showLegendKey val="0"/>
          <c:showVal val="0"/>
          <c:showCatName val="0"/>
          <c:showSerName val="0"/>
          <c:showPercent val="0"/>
          <c:showBubbleSize val="0"/>
        </c:dLbls>
        <c:gapWidth val="100"/>
        <c:overlap val="-24"/>
        <c:axId val="1619170704"/>
        <c:axId val="1619171536"/>
      </c:barChart>
      <c:catAx>
        <c:axId val="1619170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71536"/>
        <c:crosses val="autoZero"/>
        <c:auto val="1"/>
        <c:lblAlgn val="ctr"/>
        <c:lblOffset val="100"/>
        <c:noMultiLvlLbl val="0"/>
      </c:catAx>
      <c:valAx>
        <c:axId val="1619171536"/>
        <c:scaling>
          <c:orientation val="minMax"/>
        </c:scaling>
        <c:delete val="0"/>
        <c:axPos val="l"/>
        <c:majorGridlines>
          <c:spPr>
            <a:ln w="9525" cap="flat" cmpd="sng" algn="ctr">
              <a:solidFill>
                <a:schemeClr val="lt1">
                  <a:lumMod val="95000"/>
                  <a:alpha val="10000"/>
                </a:schemeClr>
              </a:solidFill>
              <a:round/>
            </a:ln>
            <a:effectLst/>
          </c:spPr>
        </c:majorGridlines>
        <c:numFmt formatCode="[$USD]\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7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Actual Vs Remaining Cost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092625343172638E-2"/>
          <c:y val="0.15310624538447939"/>
          <c:w val="0.95119244849004037"/>
          <c:h val="0.70705843119103839"/>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435-4200-B595-BCD5A4DE06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3435-4200-B595-BCD5A4DE0671}"/>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35-4200-B595-BCD5A4DE0671}"/>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35-4200-B595-BCD5A4DE06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Sheet1!$D$20:$E$20</c:f>
              <c:strCache>
                <c:ptCount val="2"/>
                <c:pt idx="0">
                  <c:v>Total Actual Cost</c:v>
                </c:pt>
                <c:pt idx="1">
                  <c:v>Remaining Cost</c:v>
                </c:pt>
              </c:strCache>
            </c:strRef>
          </c:cat>
          <c:val>
            <c:numRef>
              <c:f>Sheet1!$D$21:$E$21</c:f>
              <c:numCache>
                <c:formatCode>[$USD]\ 0.00,,\ "M"</c:formatCode>
                <c:ptCount val="2"/>
                <c:pt idx="0">
                  <c:v>15171360.0354164</c:v>
                </c:pt>
                <c:pt idx="1">
                  <c:v>3790128.5245836023</c:v>
                </c:pt>
              </c:numCache>
            </c:numRef>
          </c:val>
          <c:extLst>
            <c:ext xmlns:c16="http://schemas.microsoft.com/office/drawing/2014/chart" uri="{C3380CC4-5D6E-409C-BE32-E72D297353CC}">
              <c16:uniqueId val="{00000000-3435-4200-B595-BCD5A4DE0671}"/>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400" b="1" i="0" u="none" strike="noStrike" kern="1200"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defRPr>
            </a:pPr>
            <a:r>
              <a:rPr lang="en-IN" sz="2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Actual Vs Remaining Cost</a:t>
            </a:r>
          </a:p>
        </c:rich>
      </c:tx>
      <c:layout>
        <c:manualLayout>
          <c:xMode val="edge"/>
          <c:yMode val="edge"/>
          <c:x val="0.1850944278029831"/>
          <c:y val="0"/>
        </c:manualLayout>
      </c:layout>
      <c:overlay val="0"/>
      <c:spPr>
        <a:noFill/>
        <a:ln>
          <a:noFill/>
        </a:ln>
        <a:effectLst/>
      </c:spPr>
      <c:txPr>
        <a:bodyPr rot="0" spcFirstLastPara="1" vertOverflow="ellipsis" vert="horz" wrap="square" anchor="ctr" anchorCtr="1"/>
        <a:lstStyle/>
        <a:p>
          <a:pPr algn="ctr">
            <a:defRPr sz="2400" b="1" i="0" u="none" strike="noStrike" kern="1200"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757807286445254E-2"/>
          <c:y val="0.19082982273619392"/>
          <c:w val="0.95119244849004037"/>
          <c:h val="0.70705843119103839"/>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651-49D8-B574-05E893D7DF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651-49D8-B574-05E893D7DF76}"/>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651-49D8-B574-05E893D7DF76}"/>
                </c:ext>
              </c:extLst>
            </c:dLbl>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651-49D8-B574-05E893D7DF7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Sheet1!$D$20:$E$20</c:f>
              <c:strCache>
                <c:ptCount val="2"/>
                <c:pt idx="0">
                  <c:v>Total Actual Cost</c:v>
                </c:pt>
                <c:pt idx="1">
                  <c:v>Remaining Cost</c:v>
                </c:pt>
              </c:strCache>
            </c:strRef>
          </c:cat>
          <c:val>
            <c:numRef>
              <c:f>Sheet1!$D$21:$E$21</c:f>
              <c:numCache>
                <c:formatCode>[$USD]\ 0.00,,\ "M"</c:formatCode>
                <c:ptCount val="2"/>
                <c:pt idx="0">
                  <c:v>15171360.0354164</c:v>
                </c:pt>
                <c:pt idx="1">
                  <c:v>3790128.5245836023</c:v>
                </c:pt>
              </c:numCache>
            </c:numRef>
          </c:val>
          <c:extLst>
            <c:ext xmlns:c16="http://schemas.microsoft.com/office/drawing/2014/chart" uri="{C3380CC4-5D6E-409C-BE32-E72D297353CC}">
              <c16:uniqueId val="{00000004-2651-49D8-B574-05E893D7DF76}"/>
            </c:ext>
          </c:extLst>
        </c:ser>
        <c:dLbls>
          <c:dLblPos val="ctr"/>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24070212414523479"/>
          <c:y val="0.90901222823968153"/>
          <c:w val="0.51859555052321515"/>
          <c:h val="9.0987771760318484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Budget Vs Actual</a:t>
            </a:r>
          </a:p>
        </c:rich>
      </c:tx>
      <c:layout>
        <c:manualLayout>
          <c:xMode val="edge"/>
          <c:yMode val="edge"/>
          <c:x val="0.2896752668292735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997583015670355"/>
          <c:y val="0.1524796826917576"/>
          <c:w val="0.85254405621913587"/>
          <c:h val="0.68617191601049865"/>
        </c:manualLayout>
      </c:layout>
      <c:barChart>
        <c:barDir val="col"/>
        <c:grouping val="clustered"/>
        <c:varyColors val="0"/>
        <c:ser>
          <c:idx val="0"/>
          <c:order val="0"/>
          <c:tx>
            <c:strRef>
              <c:f>Sheet1!$B$1</c:f>
              <c:strCache>
                <c:ptCount val="1"/>
                <c:pt idx="0">
                  <c:v>Budgeted 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Sheet1!$A$2:$A$12</c15:sqref>
                  </c15:fullRef>
                </c:ext>
              </c:extLst>
              <c:f>Sheet1!$A$2:$A$11</c:f>
              <c:strCache>
                <c:ptCount val="10"/>
                <c:pt idx="0">
                  <c:v>Annexure I</c:v>
                </c:pt>
                <c:pt idx="1">
                  <c:v>Annexure II</c:v>
                </c:pt>
                <c:pt idx="2">
                  <c:v>Annexure III</c:v>
                </c:pt>
                <c:pt idx="3">
                  <c:v>Annexure IV</c:v>
                </c:pt>
                <c:pt idx="4">
                  <c:v>Annexure V</c:v>
                </c:pt>
                <c:pt idx="5">
                  <c:v>Annexure VI</c:v>
                </c:pt>
                <c:pt idx="6">
                  <c:v>Annexure VII</c:v>
                </c:pt>
                <c:pt idx="7">
                  <c:v>Annexure VIII</c:v>
                </c:pt>
                <c:pt idx="8">
                  <c:v>Annexure IX</c:v>
                </c:pt>
                <c:pt idx="9">
                  <c:v>Annexure X</c:v>
                </c:pt>
              </c:strCache>
            </c:strRef>
          </c:cat>
          <c:val>
            <c:numRef>
              <c:extLst>
                <c:ext xmlns:c15="http://schemas.microsoft.com/office/drawing/2012/chart" uri="{02D57815-91ED-43cb-92C2-25804820EDAC}">
                  <c15:fullRef>
                    <c15:sqref>Sheet1!$B$2:$B$12</c15:sqref>
                  </c15:fullRef>
                </c:ext>
              </c:extLst>
              <c:f>Sheet1!$B$2:$B$11</c:f>
              <c:numCache>
                <c:formatCode>[$USD]\ 0.00,,\ "M"</c:formatCode>
                <c:ptCount val="10"/>
                <c:pt idx="0">
                  <c:v>179850</c:v>
                </c:pt>
                <c:pt idx="1">
                  <c:v>36193</c:v>
                </c:pt>
                <c:pt idx="2">
                  <c:v>936075</c:v>
                </c:pt>
                <c:pt idx="3">
                  <c:v>275000</c:v>
                </c:pt>
                <c:pt idx="4">
                  <c:v>917500</c:v>
                </c:pt>
                <c:pt idx="5">
                  <c:v>6475383.5600000005</c:v>
                </c:pt>
                <c:pt idx="6">
                  <c:v>1760997</c:v>
                </c:pt>
                <c:pt idx="7">
                  <c:v>1320000</c:v>
                </c:pt>
                <c:pt idx="8">
                  <c:v>1856500</c:v>
                </c:pt>
                <c:pt idx="9">
                  <c:v>4946840</c:v>
                </c:pt>
              </c:numCache>
            </c:numRef>
          </c:val>
          <c:extLst>
            <c:ext xmlns:c16="http://schemas.microsoft.com/office/drawing/2014/chart" uri="{C3380CC4-5D6E-409C-BE32-E72D297353CC}">
              <c16:uniqueId val="{00000000-D508-41E3-8882-A4669592FC04}"/>
            </c:ext>
          </c:extLst>
        </c:ser>
        <c:ser>
          <c:idx val="1"/>
          <c:order val="1"/>
          <c:tx>
            <c:strRef>
              <c:f>Sheet1!$C$1</c:f>
              <c:strCache>
                <c:ptCount val="1"/>
                <c:pt idx="0">
                  <c:v>Actual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5="http://schemas.microsoft.com/office/drawing/2012/chart" uri="{02D57815-91ED-43cb-92C2-25804820EDAC}">
                  <c15:fullRef>
                    <c15:sqref>Sheet1!$A$2:$A$12</c15:sqref>
                  </c15:fullRef>
                </c:ext>
              </c:extLst>
              <c:f>Sheet1!$A$2:$A$11</c:f>
              <c:strCache>
                <c:ptCount val="10"/>
                <c:pt idx="0">
                  <c:v>Annexure I</c:v>
                </c:pt>
                <c:pt idx="1">
                  <c:v>Annexure II</c:v>
                </c:pt>
                <c:pt idx="2">
                  <c:v>Annexure III</c:v>
                </c:pt>
                <c:pt idx="3">
                  <c:v>Annexure IV</c:v>
                </c:pt>
                <c:pt idx="4">
                  <c:v>Annexure V</c:v>
                </c:pt>
                <c:pt idx="5">
                  <c:v>Annexure VI</c:v>
                </c:pt>
                <c:pt idx="6">
                  <c:v>Annexure VII</c:v>
                </c:pt>
                <c:pt idx="7">
                  <c:v>Annexure VIII</c:v>
                </c:pt>
                <c:pt idx="8">
                  <c:v>Annexure IX</c:v>
                </c:pt>
                <c:pt idx="9">
                  <c:v>Annexure X</c:v>
                </c:pt>
              </c:strCache>
            </c:strRef>
          </c:cat>
          <c:val>
            <c:numRef>
              <c:extLst>
                <c:ext xmlns:c15="http://schemas.microsoft.com/office/drawing/2012/chart" uri="{02D57815-91ED-43cb-92C2-25804820EDAC}">
                  <c15:fullRef>
                    <c15:sqref>Sheet1!$C$2:$C$12</c15:sqref>
                  </c15:fullRef>
                </c:ext>
              </c:extLst>
              <c:f>Sheet1!$C$2:$C$11</c:f>
              <c:numCache>
                <c:formatCode>[$USD]\ 0.00,,\ "M"</c:formatCode>
                <c:ptCount val="10"/>
                <c:pt idx="0">
                  <c:v>0</c:v>
                </c:pt>
                <c:pt idx="1">
                  <c:v>20621.784274999998</c:v>
                </c:pt>
                <c:pt idx="2">
                  <c:v>886356.69</c:v>
                </c:pt>
                <c:pt idx="3">
                  <c:v>127321</c:v>
                </c:pt>
                <c:pt idx="4">
                  <c:v>692348</c:v>
                </c:pt>
                <c:pt idx="5">
                  <c:v>6527134.031969999</c:v>
                </c:pt>
                <c:pt idx="6">
                  <c:v>1534282.4024799999</c:v>
                </c:pt>
                <c:pt idx="7">
                  <c:v>712385.22364000021</c:v>
                </c:pt>
                <c:pt idx="8">
                  <c:v>1107431.4560949001</c:v>
                </c:pt>
                <c:pt idx="9">
                  <c:v>3498986.6248565</c:v>
                </c:pt>
              </c:numCache>
            </c:numRef>
          </c:val>
          <c:extLst>
            <c:ext xmlns:c16="http://schemas.microsoft.com/office/drawing/2014/chart" uri="{C3380CC4-5D6E-409C-BE32-E72D297353CC}">
              <c16:uniqueId val="{00000001-D508-41E3-8882-A4669592FC04}"/>
            </c:ext>
          </c:extLst>
        </c:ser>
        <c:dLbls>
          <c:showLegendKey val="0"/>
          <c:showVal val="0"/>
          <c:showCatName val="0"/>
          <c:showSerName val="0"/>
          <c:showPercent val="0"/>
          <c:showBubbleSize val="0"/>
        </c:dLbls>
        <c:gapWidth val="100"/>
        <c:overlap val="-24"/>
        <c:axId val="1619170704"/>
        <c:axId val="1619171536"/>
      </c:barChart>
      <c:catAx>
        <c:axId val="1619170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9171536"/>
        <c:crosses val="autoZero"/>
        <c:auto val="1"/>
        <c:lblAlgn val="ctr"/>
        <c:lblOffset val="100"/>
        <c:noMultiLvlLbl val="0"/>
      </c:catAx>
      <c:valAx>
        <c:axId val="1619171536"/>
        <c:scaling>
          <c:orientation val="minMax"/>
        </c:scaling>
        <c:delete val="0"/>
        <c:axPos val="l"/>
        <c:majorGridlines>
          <c:spPr>
            <a:ln w="9525" cap="flat" cmpd="sng" algn="ctr">
              <a:solidFill>
                <a:schemeClr val="lt1">
                  <a:lumMod val="95000"/>
                  <a:alpha val="10000"/>
                </a:schemeClr>
              </a:solidFill>
              <a:round/>
            </a:ln>
            <a:effectLst/>
          </c:spPr>
        </c:majorGridlines>
        <c:numFmt formatCode="[$USD]\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19170704"/>
        <c:crosses val="autoZero"/>
        <c:crossBetween val="between"/>
      </c:valAx>
      <c:spPr>
        <a:noFill/>
        <a:ln>
          <a:noFill/>
        </a:ln>
        <a:effectLst/>
      </c:spPr>
    </c:plotArea>
    <c:legend>
      <c:legendPos val="b"/>
      <c:layout>
        <c:manualLayout>
          <c:xMode val="edge"/>
          <c:yMode val="edge"/>
          <c:x val="0.66693475438893546"/>
          <c:y val="0.15964627178968627"/>
          <c:w val="0.32963807013449387"/>
          <c:h val="7.277003116377586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173098F-0D8A-4BC9-9C2C-F6B8ADBE2147}" type="doc">
      <dgm:prSet loTypeId="urn:microsoft.com/office/officeart/2005/8/layout/list1" loCatId="list" qsTypeId="urn:microsoft.com/office/officeart/2005/8/quickstyle/simple1" qsCatId="simple" csTypeId="urn:microsoft.com/office/officeart/2005/8/colors/accent1_2" csCatId="accent1" phldr="1"/>
      <dgm:spPr/>
      <dgm:t>
        <a:bodyPr/>
        <a:lstStyle/>
        <a:p>
          <a:endParaRPr lang="en-US"/>
        </a:p>
      </dgm:t>
    </dgm:pt>
    <dgm:pt modelId="{0F53146E-662B-4A77-B0DF-C1F2AD6CF753}">
      <dgm:prSet phldrT="[Text]" custT="1"/>
      <dgm:spPr>
        <a:solidFill>
          <a:schemeClr val="accent2">
            <a:lumMod val="75000"/>
          </a:schemeClr>
        </a:solidFill>
      </dgm:spPr>
      <dgm:t>
        <a:bodyPr/>
        <a:lstStyle/>
        <a:p>
          <a:pPr algn="ctr"/>
          <a:r>
            <a:rPr lang="en-US" sz="1200"/>
            <a:t>Drawworks</a:t>
          </a:r>
        </a:p>
      </dgm:t>
    </dgm:pt>
    <dgm:pt modelId="{8D112753-EE12-4BF8-8DCC-599668033EBC}" type="parTrans" cxnId="{409595C9-C95C-4285-BD26-FFABFEE4AD12}">
      <dgm:prSet/>
      <dgm:spPr/>
      <dgm:t>
        <a:bodyPr/>
        <a:lstStyle/>
        <a:p>
          <a:endParaRPr lang="en-US"/>
        </a:p>
      </dgm:t>
    </dgm:pt>
    <dgm:pt modelId="{E44900BE-2F22-4B47-B3AC-E25CE5108614}" type="sibTrans" cxnId="{409595C9-C95C-4285-BD26-FFABFEE4AD12}">
      <dgm:prSet/>
      <dgm:spPr/>
      <dgm:t>
        <a:bodyPr/>
        <a:lstStyle/>
        <a:p>
          <a:endParaRPr lang="en-US"/>
        </a:p>
      </dgm:t>
    </dgm:pt>
    <dgm:pt modelId="{E7E1A360-11CB-49D8-9523-17C40491C487}">
      <dgm:prSet phldrT="[Text]" custT="1"/>
      <dgm:spPr>
        <a:solidFill>
          <a:schemeClr val="accent2">
            <a:lumMod val="75000"/>
          </a:schemeClr>
        </a:solidFill>
      </dgm:spPr>
      <dgm:t>
        <a:bodyPr/>
        <a:lstStyle/>
        <a:p>
          <a:pPr algn="ctr"/>
          <a:r>
            <a:rPr lang="en-US" sz="1200"/>
            <a:t>Iron Rughneck</a:t>
          </a:r>
        </a:p>
      </dgm:t>
    </dgm:pt>
    <dgm:pt modelId="{8610FF76-B93C-41F7-80F6-B58F20E9368D}" type="parTrans" cxnId="{40364A41-31AB-40C7-8BD4-76971FE211F0}">
      <dgm:prSet/>
      <dgm:spPr/>
      <dgm:t>
        <a:bodyPr/>
        <a:lstStyle/>
        <a:p>
          <a:endParaRPr lang="en-US"/>
        </a:p>
      </dgm:t>
    </dgm:pt>
    <dgm:pt modelId="{5440A83C-9413-42A1-AF52-9CB71927CB0D}" type="sibTrans" cxnId="{40364A41-31AB-40C7-8BD4-76971FE211F0}">
      <dgm:prSet/>
      <dgm:spPr/>
      <dgm:t>
        <a:bodyPr/>
        <a:lstStyle/>
        <a:p>
          <a:endParaRPr lang="en-US"/>
        </a:p>
      </dgm:t>
    </dgm:pt>
    <dgm:pt modelId="{70D242BF-29F9-469D-B8AD-115D3A192924}">
      <dgm:prSet phldrT="[Text]" custT="1"/>
      <dgm:spPr>
        <a:solidFill>
          <a:schemeClr val="accent2">
            <a:lumMod val="75000"/>
          </a:schemeClr>
        </a:solidFill>
      </dgm:spPr>
      <dgm:t>
        <a:bodyPr/>
        <a:lstStyle/>
        <a:p>
          <a:pPr algn="ctr"/>
          <a:r>
            <a:rPr lang="en-US" sz="1200"/>
            <a:t>Top Drive</a:t>
          </a:r>
        </a:p>
      </dgm:t>
    </dgm:pt>
    <dgm:pt modelId="{647674C9-D8A6-4C8E-88E9-41A9C00EB974}" type="parTrans" cxnId="{700D07F8-B183-408F-9808-992482D6A82D}">
      <dgm:prSet/>
      <dgm:spPr/>
      <dgm:t>
        <a:bodyPr/>
        <a:lstStyle/>
        <a:p>
          <a:endParaRPr lang="en-US"/>
        </a:p>
      </dgm:t>
    </dgm:pt>
    <dgm:pt modelId="{ED7C6EAE-CE12-421F-BC34-10F11BD262B9}" type="sibTrans" cxnId="{700D07F8-B183-408F-9808-992482D6A82D}">
      <dgm:prSet/>
      <dgm:spPr/>
      <dgm:t>
        <a:bodyPr/>
        <a:lstStyle/>
        <a:p>
          <a:endParaRPr lang="en-US"/>
        </a:p>
      </dgm:t>
    </dgm:pt>
    <dgm:pt modelId="{CBB92703-7E35-4FFC-B313-B6C2EC5A0B41}">
      <dgm:prSet custT="1"/>
      <dgm:spPr>
        <a:solidFill>
          <a:schemeClr val="accent2">
            <a:lumMod val="75000"/>
          </a:schemeClr>
        </a:solidFill>
      </dgm:spPr>
      <dgm:t>
        <a:bodyPr/>
        <a:lstStyle/>
        <a:p>
          <a:pPr algn="ctr"/>
          <a:r>
            <a:rPr lang="en-US" sz="1200"/>
            <a:t>Travelling Block</a:t>
          </a:r>
        </a:p>
      </dgm:t>
    </dgm:pt>
    <dgm:pt modelId="{E7FED883-A27C-45B6-9CE9-EC0996AD09E5}" type="parTrans" cxnId="{A55AD069-5C0D-4E1F-9F1E-C06B6F2C81CF}">
      <dgm:prSet/>
      <dgm:spPr/>
      <dgm:t>
        <a:bodyPr/>
        <a:lstStyle/>
        <a:p>
          <a:endParaRPr lang="en-US"/>
        </a:p>
      </dgm:t>
    </dgm:pt>
    <dgm:pt modelId="{9B130DD4-1D0A-4A48-9BF0-4F5929C0D1BA}" type="sibTrans" cxnId="{A55AD069-5C0D-4E1F-9F1E-C06B6F2C81CF}">
      <dgm:prSet/>
      <dgm:spPr/>
      <dgm:t>
        <a:bodyPr/>
        <a:lstStyle/>
        <a:p>
          <a:endParaRPr lang="en-US"/>
        </a:p>
      </dgm:t>
    </dgm:pt>
    <dgm:pt modelId="{B48F5C45-26B0-466B-BB60-1EDB7209D921}">
      <dgm:prSet custT="1"/>
      <dgm:spPr>
        <a:solidFill>
          <a:schemeClr val="accent2">
            <a:lumMod val="75000"/>
          </a:schemeClr>
        </a:solidFill>
      </dgm:spPr>
      <dgm:t>
        <a:bodyPr/>
        <a:lstStyle/>
        <a:p>
          <a:pPr algn="ctr"/>
          <a:r>
            <a:rPr lang="en-US" sz="1200"/>
            <a:t>Mud pump</a:t>
          </a:r>
        </a:p>
      </dgm:t>
    </dgm:pt>
    <dgm:pt modelId="{8D1D5A04-BBE6-4123-90A8-5E41A9BFD1A5}" type="parTrans" cxnId="{F65126F1-FEF1-4085-8675-E585B5C20E58}">
      <dgm:prSet/>
      <dgm:spPr/>
      <dgm:t>
        <a:bodyPr/>
        <a:lstStyle/>
        <a:p>
          <a:endParaRPr lang="en-US"/>
        </a:p>
      </dgm:t>
    </dgm:pt>
    <dgm:pt modelId="{EB387193-E699-424C-A6E5-7A635DD97BFA}" type="sibTrans" cxnId="{F65126F1-FEF1-4085-8675-E585B5C20E58}">
      <dgm:prSet/>
      <dgm:spPr/>
      <dgm:t>
        <a:bodyPr/>
        <a:lstStyle/>
        <a:p>
          <a:endParaRPr lang="en-US"/>
        </a:p>
      </dgm:t>
    </dgm:pt>
    <dgm:pt modelId="{E508A300-FE41-4507-ADD6-0EB4EAF2F3DB}">
      <dgm:prSet custT="1"/>
      <dgm:spPr>
        <a:solidFill>
          <a:schemeClr val="accent2">
            <a:lumMod val="75000"/>
          </a:schemeClr>
        </a:solidFill>
      </dgm:spPr>
      <dgm:t>
        <a:bodyPr/>
        <a:lstStyle/>
        <a:p>
          <a:pPr algn="ctr"/>
          <a:r>
            <a:rPr lang="en-US" sz="1200"/>
            <a:t>Bop</a:t>
          </a:r>
        </a:p>
      </dgm:t>
    </dgm:pt>
    <dgm:pt modelId="{C4530280-02A6-4304-A97E-262118ACD5E9}" type="parTrans" cxnId="{8F61FDE8-C323-4839-A491-E675BA745856}">
      <dgm:prSet/>
      <dgm:spPr/>
      <dgm:t>
        <a:bodyPr/>
        <a:lstStyle/>
        <a:p>
          <a:endParaRPr lang="en-US"/>
        </a:p>
      </dgm:t>
    </dgm:pt>
    <dgm:pt modelId="{643495ED-9886-4103-8A6E-E140FC0C4E6B}" type="sibTrans" cxnId="{8F61FDE8-C323-4839-A491-E675BA745856}">
      <dgm:prSet/>
      <dgm:spPr/>
      <dgm:t>
        <a:bodyPr/>
        <a:lstStyle/>
        <a:p>
          <a:endParaRPr lang="en-US"/>
        </a:p>
      </dgm:t>
    </dgm:pt>
    <dgm:pt modelId="{FCBAF8A7-A17E-4F4A-847B-42F4CEA88CD8}">
      <dgm:prSet custT="1"/>
      <dgm:spPr>
        <a:solidFill>
          <a:schemeClr val="accent2">
            <a:lumMod val="75000"/>
          </a:schemeClr>
        </a:solidFill>
      </dgm:spPr>
      <dgm:t>
        <a:bodyPr/>
        <a:lstStyle/>
        <a:p>
          <a:pPr algn="ctr"/>
          <a:r>
            <a:rPr lang="en-US" sz="1200"/>
            <a:t>Diverter</a:t>
          </a:r>
        </a:p>
      </dgm:t>
    </dgm:pt>
    <dgm:pt modelId="{AEB01F1D-FBE1-4248-ADB4-3EBE46A4D575}" type="parTrans" cxnId="{C4B41A6C-FBC2-45DD-88C3-83B0DEA12FEB}">
      <dgm:prSet/>
      <dgm:spPr/>
      <dgm:t>
        <a:bodyPr/>
        <a:lstStyle/>
        <a:p>
          <a:endParaRPr lang="en-US"/>
        </a:p>
      </dgm:t>
    </dgm:pt>
    <dgm:pt modelId="{D2A509B7-4E65-42A1-AE17-476122FBC203}" type="sibTrans" cxnId="{C4B41A6C-FBC2-45DD-88C3-83B0DEA12FEB}">
      <dgm:prSet/>
      <dgm:spPr/>
      <dgm:t>
        <a:bodyPr/>
        <a:lstStyle/>
        <a:p>
          <a:endParaRPr lang="en-US"/>
        </a:p>
      </dgm:t>
    </dgm:pt>
    <dgm:pt modelId="{98AD64E5-6FE4-4B88-918E-668B81E3B797}">
      <dgm:prSet custT="1"/>
      <dgm:spPr>
        <a:solidFill>
          <a:schemeClr val="accent2">
            <a:lumMod val="75000"/>
          </a:schemeClr>
        </a:solidFill>
      </dgm:spPr>
      <dgm:t>
        <a:bodyPr/>
        <a:lstStyle/>
        <a:p>
          <a:pPr algn="ctr"/>
          <a:r>
            <a:rPr lang="en-US" sz="1200"/>
            <a:t>Manifolds</a:t>
          </a:r>
        </a:p>
      </dgm:t>
    </dgm:pt>
    <dgm:pt modelId="{2058F32F-85FF-4604-A85C-19AF668670F1}" type="parTrans" cxnId="{85BA2322-E834-4A0B-AAD4-94D4496EAF5A}">
      <dgm:prSet/>
      <dgm:spPr/>
      <dgm:t>
        <a:bodyPr/>
        <a:lstStyle/>
        <a:p>
          <a:endParaRPr lang="en-US"/>
        </a:p>
      </dgm:t>
    </dgm:pt>
    <dgm:pt modelId="{55049366-F7B0-46CD-8E4D-8DBFDB661D49}" type="sibTrans" cxnId="{85BA2322-E834-4A0B-AAD4-94D4496EAF5A}">
      <dgm:prSet/>
      <dgm:spPr/>
      <dgm:t>
        <a:bodyPr/>
        <a:lstStyle/>
        <a:p>
          <a:endParaRPr lang="en-US"/>
        </a:p>
      </dgm:t>
    </dgm:pt>
    <dgm:pt modelId="{1B5DEDA2-3197-43CE-ADC4-41350C194389}">
      <dgm:prSet custT="1"/>
      <dgm:spPr>
        <a:solidFill>
          <a:schemeClr val="accent2">
            <a:lumMod val="75000"/>
          </a:schemeClr>
        </a:solidFill>
      </dgm:spPr>
      <dgm:t>
        <a:bodyPr/>
        <a:lstStyle/>
        <a:p>
          <a:pPr algn="ctr"/>
          <a:r>
            <a:rPr lang="en-US" sz="1200"/>
            <a:t>Crown Block</a:t>
          </a:r>
        </a:p>
      </dgm:t>
    </dgm:pt>
    <dgm:pt modelId="{7F4A7AA1-A6F7-4135-AC6A-311819F4C1A9}" type="parTrans" cxnId="{394AC482-34A7-45C8-8D7E-DE84B26AB090}">
      <dgm:prSet/>
      <dgm:spPr/>
      <dgm:t>
        <a:bodyPr/>
        <a:lstStyle/>
        <a:p>
          <a:endParaRPr lang="en-US"/>
        </a:p>
      </dgm:t>
    </dgm:pt>
    <dgm:pt modelId="{1FF52AA3-78CE-494A-838C-C80449CBCCA8}" type="sibTrans" cxnId="{394AC482-34A7-45C8-8D7E-DE84B26AB090}">
      <dgm:prSet/>
      <dgm:spPr/>
      <dgm:t>
        <a:bodyPr/>
        <a:lstStyle/>
        <a:p>
          <a:endParaRPr lang="en-US"/>
        </a:p>
      </dgm:t>
    </dgm:pt>
    <dgm:pt modelId="{C9BCCCAF-01EF-468C-9E63-6B224D5B28DD}">
      <dgm:prSet custT="1"/>
      <dgm:spPr>
        <a:solidFill>
          <a:schemeClr val="accent2">
            <a:lumMod val="75000"/>
          </a:schemeClr>
        </a:solidFill>
      </dgm:spPr>
      <dgm:t>
        <a:bodyPr/>
        <a:lstStyle/>
        <a:p>
          <a:pPr algn="ctr"/>
          <a:r>
            <a:rPr lang="en-US" sz="1200"/>
            <a:t>Deadline Anchor</a:t>
          </a:r>
        </a:p>
      </dgm:t>
    </dgm:pt>
    <dgm:pt modelId="{27A07FA0-5168-496D-B668-501911C7C09F}" type="parTrans" cxnId="{D263E6A1-18BB-4B11-A195-841845AFB19D}">
      <dgm:prSet/>
      <dgm:spPr/>
      <dgm:t>
        <a:bodyPr/>
        <a:lstStyle/>
        <a:p>
          <a:endParaRPr lang="en-US"/>
        </a:p>
      </dgm:t>
    </dgm:pt>
    <dgm:pt modelId="{739821AB-C7BE-4ECA-AE9C-446830C2EB7F}" type="sibTrans" cxnId="{D263E6A1-18BB-4B11-A195-841845AFB19D}">
      <dgm:prSet/>
      <dgm:spPr/>
      <dgm:t>
        <a:bodyPr/>
        <a:lstStyle/>
        <a:p>
          <a:endParaRPr lang="en-US"/>
        </a:p>
      </dgm:t>
    </dgm:pt>
    <dgm:pt modelId="{73B7A3BD-EA06-41E2-B723-99B1FBCC1736}">
      <dgm:prSet custT="1"/>
      <dgm:spPr>
        <a:solidFill>
          <a:schemeClr val="accent2">
            <a:lumMod val="75000"/>
          </a:schemeClr>
        </a:solidFill>
      </dgm:spPr>
      <dgm:t>
        <a:bodyPr/>
        <a:lstStyle/>
        <a:p>
          <a:pPr algn="ctr"/>
          <a:r>
            <a:rPr lang="en-US" sz="1200"/>
            <a:t>Rotary Table</a:t>
          </a:r>
        </a:p>
      </dgm:t>
    </dgm:pt>
    <dgm:pt modelId="{1AF9B8C6-6B7D-4A78-978B-ADAA76EE147A}" type="parTrans" cxnId="{B270B4FF-9419-43CA-8E13-85964CF8C997}">
      <dgm:prSet/>
      <dgm:spPr/>
      <dgm:t>
        <a:bodyPr/>
        <a:lstStyle/>
        <a:p>
          <a:endParaRPr lang="en-US"/>
        </a:p>
      </dgm:t>
    </dgm:pt>
    <dgm:pt modelId="{25228117-C363-451F-8B5A-B06E4C9B3B3B}" type="sibTrans" cxnId="{B270B4FF-9419-43CA-8E13-85964CF8C997}">
      <dgm:prSet/>
      <dgm:spPr/>
      <dgm:t>
        <a:bodyPr/>
        <a:lstStyle/>
        <a:p>
          <a:endParaRPr lang="en-US"/>
        </a:p>
      </dgm:t>
    </dgm:pt>
    <dgm:pt modelId="{9C9EA847-0D52-44BA-AF27-904333AEA1CE}" type="pres">
      <dgm:prSet presAssocID="{D173098F-0D8A-4BC9-9C2C-F6B8ADBE2147}" presName="linear" presStyleCnt="0">
        <dgm:presLayoutVars>
          <dgm:dir/>
          <dgm:animLvl val="lvl"/>
          <dgm:resizeHandles val="exact"/>
        </dgm:presLayoutVars>
      </dgm:prSet>
      <dgm:spPr/>
      <dgm:t>
        <a:bodyPr/>
        <a:lstStyle/>
        <a:p>
          <a:endParaRPr lang="en-US"/>
        </a:p>
      </dgm:t>
    </dgm:pt>
    <dgm:pt modelId="{58D8400C-75A7-4307-B5DE-EE23051B8C56}" type="pres">
      <dgm:prSet presAssocID="{0F53146E-662B-4A77-B0DF-C1F2AD6CF753}" presName="parentLin" presStyleCnt="0"/>
      <dgm:spPr/>
    </dgm:pt>
    <dgm:pt modelId="{C1D14667-60C8-4484-B45D-EE363F14798C}" type="pres">
      <dgm:prSet presAssocID="{0F53146E-662B-4A77-B0DF-C1F2AD6CF753}" presName="parentLeftMargin" presStyleLbl="node1" presStyleIdx="0" presStyleCnt="11"/>
      <dgm:spPr/>
      <dgm:t>
        <a:bodyPr/>
        <a:lstStyle/>
        <a:p>
          <a:endParaRPr lang="en-US"/>
        </a:p>
      </dgm:t>
    </dgm:pt>
    <dgm:pt modelId="{E7DF188C-5D0A-4754-812D-7F8DFDFC5D78}" type="pres">
      <dgm:prSet presAssocID="{0F53146E-662B-4A77-B0DF-C1F2AD6CF753}" presName="parentText" presStyleLbl="node1" presStyleIdx="0" presStyleCnt="11">
        <dgm:presLayoutVars>
          <dgm:chMax val="0"/>
          <dgm:bulletEnabled val="1"/>
        </dgm:presLayoutVars>
      </dgm:prSet>
      <dgm:spPr/>
      <dgm:t>
        <a:bodyPr/>
        <a:lstStyle/>
        <a:p>
          <a:endParaRPr lang="en-US"/>
        </a:p>
      </dgm:t>
    </dgm:pt>
    <dgm:pt modelId="{5F193AB0-5383-43ED-BA01-2AA20521D917}" type="pres">
      <dgm:prSet presAssocID="{0F53146E-662B-4A77-B0DF-C1F2AD6CF753}" presName="negativeSpace" presStyleCnt="0"/>
      <dgm:spPr/>
    </dgm:pt>
    <dgm:pt modelId="{F788541F-1023-4073-9521-8BB9ADD941E4}" type="pres">
      <dgm:prSet presAssocID="{0F53146E-662B-4A77-B0DF-C1F2AD6CF753}" presName="childText" presStyleLbl="conFgAcc1" presStyleIdx="0" presStyleCnt="11">
        <dgm:presLayoutVars>
          <dgm:bulletEnabled val="1"/>
        </dgm:presLayoutVars>
      </dgm:prSet>
      <dgm:spPr/>
    </dgm:pt>
    <dgm:pt modelId="{84D48E9E-8090-4955-953E-20D97D1F1BFF}" type="pres">
      <dgm:prSet presAssocID="{E44900BE-2F22-4B47-B3AC-E25CE5108614}" presName="spaceBetweenRectangles" presStyleCnt="0"/>
      <dgm:spPr/>
    </dgm:pt>
    <dgm:pt modelId="{EBEE1D18-95FB-4327-BD13-F394C85AA929}" type="pres">
      <dgm:prSet presAssocID="{E7E1A360-11CB-49D8-9523-17C40491C487}" presName="parentLin" presStyleCnt="0"/>
      <dgm:spPr/>
    </dgm:pt>
    <dgm:pt modelId="{9045CE1A-B50F-43A0-A4B9-BDFAF8417F8E}" type="pres">
      <dgm:prSet presAssocID="{E7E1A360-11CB-49D8-9523-17C40491C487}" presName="parentLeftMargin" presStyleLbl="node1" presStyleIdx="0" presStyleCnt="11"/>
      <dgm:spPr/>
      <dgm:t>
        <a:bodyPr/>
        <a:lstStyle/>
        <a:p>
          <a:endParaRPr lang="en-US"/>
        </a:p>
      </dgm:t>
    </dgm:pt>
    <dgm:pt modelId="{5C7CBB5F-5181-4C8B-A888-53FD71F0B3D6}" type="pres">
      <dgm:prSet presAssocID="{E7E1A360-11CB-49D8-9523-17C40491C487}" presName="parentText" presStyleLbl="node1" presStyleIdx="1" presStyleCnt="11">
        <dgm:presLayoutVars>
          <dgm:chMax val="0"/>
          <dgm:bulletEnabled val="1"/>
        </dgm:presLayoutVars>
      </dgm:prSet>
      <dgm:spPr/>
      <dgm:t>
        <a:bodyPr/>
        <a:lstStyle/>
        <a:p>
          <a:endParaRPr lang="en-US"/>
        </a:p>
      </dgm:t>
    </dgm:pt>
    <dgm:pt modelId="{D8DB8CC7-D428-47C5-80B0-077F3CCC2A54}" type="pres">
      <dgm:prSet presAssocID="{E7E1A360-11CB-49D8-9523-17C40491C487}" presName="negativeSpace" presStyleCnt="0"/>
      <dgm:spPr/>
    </dgm:pt>
    <dgm:pt modelId="{A9543099-F196-4FD7-B856-04D90B2EA78E}" type="pres">
      <dgm:prSet presAssocID="{E7E1A360-11CB-49D8-9523-17C40491C487}" presName="childText" presStyleLbl="conFgAcc1" presStyleIdx="1" presStyleCnt="11">
        <dgm:presLayoutVars>
          <dgm:bulletEnabled val="1"/>
        </dgm:presLayoutVars>
      </dgm:prSet>
      <dgm:spPr/>
    </dgm:pt>
    <dgm:pt modelId="{69025179-D1AD-4BFC-951D-272B9A53551F}" type="pres">
      <dgm:prSet presAssocID="{5440A83C-9413-42A1-AF52-9CB71927CB0D}" presName="spaceBetweenRectangles" presStyleCnt="0"/>
      <dgm:spPr/>
    </dgm:pt>
    <dgm:pt modelId="{0FA8BAE3-8A61-487B-A105-68897DDB8CD0}" type="pres">
      <dgm:prSet presAssocID="{70D242BF-29F9-469D-B8AD-115D3A192924}" presName="parentLin" presStyleCnt="0"/>
      <dgm:spPr/>
    </dgm:pt>
    <dgm:pt modelId="{B373D9C4-E3AA-46B0-9F7F-2EB4E719A110}" type="pres">
      <dgm:prSet presAssocID="{70D242BF-29F9-469D-B8AD-115D3A192924}" presName="parentLeftMargin" presStyleLbl="node1" presStyleIdx="1" presStyleCnt="11"/>
      <dgm:spPr/>
      <dgm:t>
        <a:bodyPr/>
        <a:lstStyle/>
        <a:p>
          <a:endParaRPr lang="en-US"/>
        </a:p>
      </dgm:t>
    </dgm:pt>
    <dgm:pt modelId="{F1570A21-3E91-4CE1-B6AF-47FA38F9DDE5}" type="pres">
      <dgm:prSet presAssocID="{70D242BF-29F9-469D-B8AD-115D3A192924}" presName="parentText" presStyleLbl="node1" presStyleIdx="2" presStyleCnt="11">
        <dgm:presLayoutVars>
          <dgm:chMax val="0"/>
          <dgm:bulletEnabled val="1"/>
        </dgm:presLayoutVars>
      </dgm:prSet>
      <dgm:spPr/>
      <dgm:t>
        <a:bodyPr/>
        <a:lstStyle/>
        <a:p>
          <a:endParaRPr lang="en-US"/>
        </a:p>
      </dgm:t>
    </dgm:pt>
    <dgm:pt modelId="{3A1A776E-15AE-475D-B932-16E1B8B57619}" type="pres">
      <dgm:prSet presAssocID="{70D242BF-29F9-469D-B8AD-115D3A192924}" presName="negativeSpace" presStyleCnt="0"/>
      <dgm:spPr/>
    </dgm:pt>
    <dgm:pt modelId="{35962C79-A819-4CA7-9B5A-3441662D25E0}" type="pres">
      <dgm:prSet presAssocID="{70D242BF-29F9-469D-B8AD-115D3A192924}" presName="childText" presStyleLbl="conFgAcc1" presStyleIdx="2" presStyleCnt="11">
        <dgm:presLayoutVars>
          <dgm:bulletEnabled val="1"/>
        </dgm:presLayoutVars>
      </dgm:prSet>
      <dgm:spPr/>
    </dgm:pt>
    <dgm:pt modelId="{A08CB475-C135-4781-9D0B-94E6CA3655E0}" type="pres">
      <dgm:prSet presAssocID="{ED7C6EAE-CE12-421F-BC34-10F11BD262B9}" presName="spaceBetweenRectangles" presStyleCnt="0"/>
      <dgm:spPr/>
    </dgm:pt>
    <dgm:pt modelId="{23AE044A-62A6-4DBA-9CD4-710E6CCB2563}" type="pres">
      <dgm:prSet presAssocID="{B48F5C45-26B0-466B-BB60-1EDB7209D921}" presName="parentLin" presStyleCnt="0"/>
      <dgm:spPr/>
    </dgm:pt>
    <dgm:pt modelId="{B0E2232F-5F63-4511-A4F2-A73144F4D916}" type="pres">
      <dgm:prSet presAssocID="{B48F5C45-26B0-466B-BB60-1EDB7209D921}" presName="parentLeftMargin" presStyleLbl="node1" presStyleIdx="2" presStyleCnt="11"/>
      <dgm:spPr/>
      <dgm:t>
        <a:bodyPr/>
        <a:lstStyle/>
        <a:p>
          <a:endParaRPr lang="en-US"/>
        </a:p>
      </dgm:t>
    </dgm:pt>
    <dgm:pt modelId="{87A67EDB-A46F-43C9-97F3-DFA61D2E859A}" type="pres">
      <dgm:prSet presAssocID="{B48F5C45-26B0-466B-BB60-1EDB7209D921}" presName="parentText" presStyleLbl="node1" presStyleIdx="3" presStyleCnt="11">
        <dgm:presLayoutVars>
          <dgm:chMax val="0"/>
          <dgm:bulletEnabled val="1"/>
        </dgm:presLayoutVars>
      </dgm:prSet>
      <dgm:spPr/>
      <dgm:t>
        <a:bodyPr/>
        <a:lstStyle/>
        <a:p>
          <a:endParaRPr lang="en-US"/>
        </a:p>
      </dgm:t>
    </dgm:pt>
    <dgm:pt modelId="{1C3C13AB-031B-46C0-A4E2-7CA8C0FD6CE4}" type="pres">
      <dgm:prSet presAssocID="{B48F5C45-26B0-466B-BB60-1EDB7209D921}" presName="negativeSpace" presStyleCnt="0"/>
      <dgm:spPr/>
    </dgm:pt>
    <dgm:pt modelId="{7E9CC3D1-0183-485C-8076-44A112773065}" type="pres">
      <dgm:prSet presAssocID="{B48F5C45-26B0-466B-BB60-1EDB7209D921}" presName="childText" presStyleLbl="conFgAcc1" presStyleIdx="3" presStyleCnt="11">
        <dgm:presLayoutVars>
          <dgm:bulletEnabled val="1"/>
        </dgm:presLayoutVars>
      </dgm:prSet>
      <dgm:spPr/>
    </dgm:pt>
    <dgm:pt modelId="{22B44C40-3404-4DC1-A622-D76CBC537C71}" type="pres">
      <dgm:prSet presAssocID="{EB387193-E699-424C-A6E5-7A635DD97BFA}" presName="spaceBetweenRectangles" presStyleCnt="0"/>
      <dgm:spPr/>
    </dgm:pt>
    <dgm:pt modelId="{5092A7AF-F85A-4683-BE9B-5D040FD1F04B}" type="pres">
      <dgm:prSet presAssocID="{73B7A3BD-EA06-41E2-B723-99B1FBCC1736}" presName="parentLin" presStyleCnt="0"/>
      <dgm:spPr/>
    </dgm:pt>
    <dgm:pt modelId="{FB89C665-CFEF-40FB-9AEC-95A69068B184}" type="pres">
      <dgm:prSet presAssocID="{73B7A3BD-EA06-41E2-B723-99B1FBCC1736}" presName="parentLeftMargin" presStyleLbl="node1" presStyleIdx="3" presStyleCnt="11"/>
      <dgm:spPr/>
      <dgm:t>
        <a:bodyPr/>
        <a:lstStyle/>
        <a:p>
          <a:endParaRPr lang="en-US"/>
        </a:p>
      </dgm:t>
    </dgm:pt>
    <dgm:pt modelId="{A4B23C0D-8F0D-464F-94E3-F6ABCDB22E94}" type="pres">
      <dgm:prSet presAssocID="{73B7A3BD-EA06-41E2-B723-99B1FBCC1736}" presName="parentText" presStyleLbl="node1" presStyleIdx="4" presStyleCnt="11">
        <dgm:presLayoutVars>
          <dgm:chMax val="0"/>
          <dgm:bulletEnabled val="1"/>
        </dgm:presLayoutVars>
      </dgm:prSet>
      <dgm:spPr/>
      <dgm:t>
        <a:bodyPr/>
        <a:lstStyle/>
        <a:p>
          <a:endParaRPr lang="en-US"/>
        </a:p>
      </dgm:t>
    </dgm:pt>
    <dgm:pt modelId="{DF714603-F8F9-4654-A2F2-D0C265350789}" type="pres">
      <dgm:prSet presAssocID="{73B7A3BD-EA06-41E2-B723-99B1FBCC1736}" presName="negativeSpace" presStyleCnt="0"/>
      <dgm:spPr/>
    </dgm:pt>
    <dgm:pt modelId="{2B14A9F1-D273-4B0A-9B8C-4B56F8A4BA79}" type="pres">
      <dgm:prSet presAssocID="{73B7A3BD-EA06-41E2-B723-99B1FBCC1736}" presName="childText" presStyleLbl="conFgAcc1" presStyleIdx="4" presStyleCnt="11">
        <dgm:presLayoutVars>
          <dgm:bulletEnabled val="1"/>
        </dgm:presLayoutVars>
      </dgm:prSet>
      <dgm:spPr/>
    </dgm:pt>
    <dgm:pt modelId="{9E373B2C-394E-4E8B-B2FB-DC244FB28757}" type="pres">
      <dgm:prSet presAssocID="{25228117-C363-451F-8B5A-B06E4C9B3B3B}" presName="spaceBetweenRectangles" presStyleCnt="0"/>
      <dgm:spPr/>
    </dgm:pt>
    <dgm:pt modelId="{3494C8FB-7C0E-4E19-8068-E35FD38C1983}" type="pres">
      <dgm:prSet presAssocID="{1B5DEDA2-3197-43CE-ADC4-41350C194389}" presName="parentLin" presStyleCnt="0"/>
      <dgm:spPr/>
    </dgm:pt>
    <dgm:pt modelId="{1E1E8ACB-1D78-45FA-A38F-BA682A2D2A0B}" type="pres">
      <dgm:prSet presAssocID="{1B5DEDA2-3197-43CE-ADC4-41350C194389}" presName="parentLeftMargin" presStyleLbl="node1" presStyleIdx="4" presStyleCnt="11"/>
      <dgm:spPr/>
      <dgm:t>
        <a:bodyPr/>
        <a:lstStyle/>
        <a:p>
          <a:endParaRPr lang="en-US"/>
        </a:p>
      </dgm:t>
    </dgm:pt>
    <dgm:pt modelId="{06210048-5C6D-49B8-AF9A-805F96AA32AC}" type="pres">
      <dgm:prSet presAssocID="{1B5DEDA2-3197-43CE-ADC4-41350C194389}" presName="parentText" presStyleLbl="node1" presStyleIdx="5" presStyleCnt="11">
        <dgm:presLayoutVars>
          <dgm:chMax val="0"/>
          <dgm:bulletEnabled val="1"/>
        </dgm:presLayoutVars>
      </dgm:prSet>
      <dgm:spPr/>
      <dgm:t>
        <a:bodyPr/>
        <a:lstStyle/>
        <a:p>
          <a:endParaRPr lang="en-US"/>
        </a:p>
      </dgm:t>
    </dgm:pt>
    <dgm:pt modelId="{9C2F33E5-77F9-43DA-87CA-ED9B6F53E9CF}" type="pres">
      <dgm:prSet presAssocID="{1B5DEDA2-3197-43CE-ADC4-41350C194389}" presName="negativeSpace" presStyleCnt="0"/>
      <dgm:spPr/>
    </dgm:pt>
    <dgm:pt modelId="{89292E05-CB65-4022-B1B3-DD7757E3AF8B}" type="pres">
      <dgm:prSet presAssocID="{1B5DEDA2-3197-43CE-ADC4-41350C194389}" presName="childText" presStyleLbl="conFgAcc1" presStyleIdx="5" presStyleCnt="11">
        <dgm:presLayoutVars>
          <dgm:bulletEnabled val="1"/>
        </dgm:presLayoutVars>
      </dgm:prSet>
      <dgm:spPr/>
    </dgm:pt>
    <dgm:pt modelId="{8E5E5431-EE84-4F1B-9F15-0417939CF275}" type="pres">
      <dgm:prSet presAssocID="{1FF52AA3-78CE-494A-838C-C80449CBCCA8}" presName="spaceBetweenRectangles" presStyleCnt="0"/>
      <dgm:spPr/>
    </dgm:pt>
    <dgm:pt modelId="{2C3A0DD8-8AE1-4F65-84E8-38BD0A6F70D6}" type="pres">
      <dgm:prSet presAssocID="{CBB92703-7E35-4FFC-B313-B6C2EC5A0B41}" presName="parentLin" presStyleCnt="0"/>
      <dgm:spPr/>
    </dgm:pt>
    <dgm:pt modelId="{1E70AAF7-A43F-4459-A9DD-2DBA6CB5F1E6}" type="pres">
      <dgm:prSet presAssocID="{CBB92703-7E35-4FFC-B313-B6C2EC5A0B41}" presName="parentLeftMargin" presStyleLbl="node1" presStyleIdx="5" presStyleCnt="11"/>
      <dgm:spPr/>
      <dgm:t>
        <a:bodyPr/>
        <a:lstStyle/>
        <a:p>
          <a:endParaRPr lang="en-US"/>
        </a:p>
      </dgm:t>
    </dgm:pt>
    <dgm:pt modelId="{338BC286-FC3A-40DA-8762-AAFA54D4E9C3}" type="pres">
      <dgm:prSet presAssocID="{CBB92703-7E35-4FFC-B313-B6C2EC5A0B41}" presName="parentText" presStyleLbl="node1" presStyleIdx="6" presStyleCnt="11">
        <dgm:presLayoutVars>
          <dgm:chMax val="0"/>
          <dgm:bulletEnabled val="1"/>
        </dgm:presLayoutVars>
      </dgm:prSet>
      <dgm:spPr/>
      <dgm:t>
        <a:bodyPr/>
        <a:lstStyle/>
        <a:p>
          <a:endParaRPr lang="en-US"/>
        </a:p>
      </dgm:t>
    </dgm:pt>
    <dgm:pt modelId="{9F5A5D89-E1EE-4A42-87B5-EC70F0589D18}" type="pres">
      <dgm:prSet presAssocID="{CBB92703-7E35-4FFC-B313-B6C2EC5A0B41}" presName="negativeSpace" presStyleCnt="0"/>
      <dgm:spPr/>
    </dgm:pt>
    <dgm:pt modelId="{2976F909-FBC6-47EE-8FB5-7BAFD2C8F056}" type="pres">
      <dgm:prSet presAssocID="{CBB92703-7E35-4FFC-B313-B6C2EC5A0B41}" presName="childText" presStyleLbl="conFgAcc1" presStyleIdx="6" presStyleCnt="11">
        <dgm:presLayoutVars>
          <dgm:bulletEnabled val="1"/>
        </dgm:presLayoutVars>
      </dgm:prSet>
      <dgm:spPr/>
    </dgm:pt>
    <dgm:pt modelId="{BC4A1448-5EC3-4FED-895E-6928A8E9C171}" type="pres">
      <dgm:prSet presAssocID="{9B130DD4-1D0A-4A48-9BF0-4F5929C0D1BA}" presName="spaceBetweenRectangles" presStyleCnt="0"/>
      <dgm:spPr/>
    </dgm:pt>
    <dgm:pt modelId="{60251E7A-3C77-4FAA-96CA-97176E1E8548}" type="pres">
      <dgm:prSet presAssocID="{C9BCCCAF-01EF-468C-9E63-6B224D5B28DD}" presName="parentLin" presStyleCnt="0"/>
      <dgm:spPr/>
    </dgm:pt>
    <dgm:pt modelId="{557CE80A-D467-4A91-B671-E091ABFD889C}" type="pres">
      <dgm:prSet presAssocID="{C9BCCCAF-01EF-468C-9E63-6B224D5B28DD}" presName="parentLeftMargin" presStyleLbl="node1" presStyleIdx="6" presStyleCnt="11"/>
      <dgm:spPr/>
      <dgm:t>
        <a:bodyPr/>
        <a:lstStyle/>
        <a:p>
          <a:endParaRPr lang="en-US"/>
        </a:p>
      </dgm:t>
    </dgm:pt>
    <dgm:pt modelId="{13CDC921-38EC-440F-A587-5572AE3533AC}" type="pres">
      <dgm:prSet presAssocID="{C9BCCCAF-01EF-468C-9E63-6B224D5B28DD}" presName="parentText" presStyleLbl="node1" presStyleIdx="7" presStyleCnt="11">
        <dgm:presLayoutVars>
          <dgm:chMax val="0"/>
          <dgm:bulletEnabled val="1"/>
        </dgm:presLayoutVars>
      </dgm:prSet>
      <dgm:spPr/>
      <dgm:t>
        <a:bodyPr/>
        <a:lstStyle/>
        <a:p>
          <a:endParaRPr lang="en-US"/>
        </a:p>
      </dgm:t>
    </dgm:pt>
    <dgm:pt modelId="{0ED48653-3D7B-4B21-88A4-C330C0CDB8BA}" type="pres">
      <dgm:prSet presAssocID="{C9BCCCAF-01EF-468C-9E63-6B224D5B28DD}" presName="negativeSpace" presStyleCnt="0"/>
      <dgm:spPr/>
    </dgm:pt>
    <dgm:pt modelId="{357A4407-8634-427B-A483-9CF7C9953330}" type="pres">
      <dgm:prSet presAssocID="{C9BCCCAF-01EF-468C-9E63-6B224D5B28DD}" presName="childText" presStyleLbl="conFgAcc1" presStyleIdx="7" presStyleCnt="11">
        <dgm:presLayoutVars>
          <dgm:bulletEnabled val="1"/>
        </dgm:presLayoutVars>
      </dgm:prSet>
      <dgm:spPr/>
    </dgm:pt>
    <dgm:pt modelId="{F18F09D8-497B-4FE0-AE41-4852E73FA0F2}" type="pres">
      <dgm:prSet presAssocID="{739821AB-C7BE-4ECA-AE9C-446830C2EB7F}" presName="spaceBetweenRectangles" presStyleCnt="0"/>
      <dgm:spPr/>
    </dgm:pt>
    <dgm:pt modelId="{AC5246C8-C830-4CB3-9F56-EA39FE93CE40}" type="pres">
      <dgm:prSet presAssocID="{E508A300-FE41-4507-ADD6-0EB4EAF2F3DB}" presName="parentLin" presStyleCnt="0"/>
      <dgm:spPr/>
    </dgm:pt>
    <dgm:pt modelId="{ABBA4B2D-EB27-4D23-90F9-BEFC1F24F214}" type="pres">
      <dgm:prSet presAssocID="{E508A300-FE41-4507-ADD6-0EB4EAF2F3DB}" presName="parentLeftMargin" presStyleLbl="node1" presStyleIdx="7" presStyleCnt="11"/>
      <dgm:spPr/>
      <dgm:t>
        <a:bodyPr/>
        <a:lstStyle/>
        <a:p>
          <a:endParaRPr lang="en-US"/>
        </a:p>
      </dgm:t>
    </dgm:pt>
    <dgm:pt modelId="{8A0E27C1-7C00-4083-8FDC-1BF3212CA24B}" type="pres">
      <dgm:prSet presAssocID="{E508A300-FE41-4507-ADD6-0EB4EAF2F3DB}" presName="parentText" presStyleLbl="node1" presStyleIdx="8" presStyleCnt="11">
        <dgm:presLayoutVars>
          <dgm:chMax val="0"/>
          <dgm:bulletEnabled val="1"/>
        </dgm:presLayoutVars>
      </dgm:prSet>
      <dgm:spPr/>
      <dgm:t>
        <a:bodyPr/>
        <a:lstStyle/>
        <a:p>
          <a:endParaRPr lang="en-US"/>
        </a:p>
      </dgm:t>
    </dgm:pt>
    <dgm:pt modelId="{B3D00290-171A-4A06-B5EA-7F73BD3D73F6}" type="pres">
      <dgm:prSet presAssocID="{E508A300-FE41-4507-ADD6-0EB4EAF2F3DB}" presName="negativeSpace" presStyleCnt="0"/>
      <dgm:spPr/>
    </dgm:pt>
    <dgm:pt modelId="{4D825064-AF6E-47E6-A7E4-2F2B918556E3}" type="pres">
      <dgm:prSet presAssocID="{E508A300-FE41-4507-ADD6-0EB4EAF2F3DB}" presName="childText" presStyleLbl="conFgAcc1" presStyleIdx="8" presStyleCnt="11">
        <dgm:presLayoutVars>
          <dgm:bulletEnabled val="1"/>
        </dgm:presLayoutVars>
      </dgm:prSet>
      <dgm:spPr/>
    </dgm:pt>
    <dgm:pt modelId="{FD448B28-1B6B-423D-B190-62D4585958A8}" type="pres">
      <dgm:prSet presAssocID="{643495ED-9886-4103-8A6E-E140FC0C4E6B}" presName="spaceBetweenRectangles" presStyleCnt="0"/>
      <dgm:spPr/>
    </dgm:pt>
    <dgm:pt modelId="{AEF666BA-C21B-42B7-8C3A-5E2C808FE986}" type="pres">
      <dgm:prSet presAssocID="{FCBAF8A7-A17E-4F4A-847B-42F4CEA88CD8}" presName="parentLin" presStyleCnt="0"/>
      <dgm:spPr/>
    </dgm:pt>
    <dgm:pt modelId="{6CE8264F-0181-400B-883A-DE9A927EFA89}" type="pres">
      <dgm:prSet presAssocID="{FCBAF8A7-A17E-4F4A-847B-42F4CEA88CD8}" presName="parentLeftMargin" presStyleLbl="node1" presStyleIdx="8" presStyleCnt="11"/>
      <dgm:spPr/>
      <dgm:t>
        <a:bodyPr/>
        <a:lstStyle/>
        <a:p>
          <a:endParaRPr lang="en-US"/>
        </a:p>
      </dgm:t>
    </dgm:pt>
    <dgm:pt modelId="{66557F1E-4A62-46BE-9E89-7109628EABD0}" type="pres">
      <dgm:prSet presAssocID="{FCBAF8A7-A17E-4F4A-847B-42F4CEA88CD8}" presName="parentText" presStyleLbl="node1" presStyleIdx="9" presStyleCnt="11">
        <dgm:presLayoutVars>
          <dgm:chMax val="0"/>
          <dgm:bulletEnabled val="1"/>
        </dgm:presLayoutVars>
      </dgm:prSet>
      <dgm:spPr/>
      <dgm:t>
        <a:bodyPr/>
        <a:lstStyle/>
        <a:p>
          <a:endParaRPr lang="en-US"/>
        </a:p>
      </dgm:t>
    </dgm:pt>
    <dgm:pt modelId="{3FEC4AA6-FE4F-48BC-BE6F-BA34C7BA8551}" type="pres">
      <dgm:prSet presAssocID="{FCBAF8A7-A17E-4F4A-847B-42F4CEA88CD8}" presName="negativeSpace" presStyleCnt="0"/>
      <dgm:spPr/>
    </dgm:pt>
    <dgm:pt modelId="{6BDCD181-9F26-47B8-A317-BAEF7251DB6A}" type="pres">
      <dgm:prSet presAssocID="{FCBAF8A7-A17E-4F4A-847B-42F4CEA88CD8}" presName="childText" presStyleLbl="conFgAcc1" presStyleIdx="9" presStyleCnt="11">
        <dgm:presLayoutVars>
          <dgm:bulletEnabled val="1"/>
        </dgm:presLayoutVars>
      </dgm:prSet>
      <dgm:spPr/>
    </dgm:pt>
    <dgm:pt modelId="{11C3198E-8237-49CE-9F0E-D02B6F07A0F3}" type="pres">
      <dgm:prSet presAssocID="{D2A509B7-4E65-42A1-AE17-476122FBC203}" presName="spaceBetweenRectangles" presStyleCnt="0"/>
      <dgm:spPr/>
    </dgm:pt>
    <dgm:pt modelId="{47C6CE10-833B-4F11-AE33-03B1729B41A6}" type="pres">
      <dgm:prSet presAssocID="{98AD64E5-6FE4-4B88-918E-668B81E3B797}" presName="parentLin" presStyleCnt="0"/>
      <dgm:spPr/>
    </dgm:pt>
    <dgm:pt modelId="{6F40F285-AD24-4E47-9416-F1157FF0CC4B}" type="pres">
      <dgm:prSet presAssocID="{98AD64E5-6FE4-4B88-918E-668B81E3B797}" presName="parentLeftMargin" presStyleLbl="node1" presStyleIdx="9" presStyleCnt="11"/>
      <dgm:spPr/>
      <dgm:t>
        <a:bodyPr/>
        <a:lstStyle/>
        <a:p>
          <a:endParaRPr lang="en-US"/>
        </a:p>
      </dgm:t>
    </dgm:pt>
    <dgm:pt modelId="{8D86BE5A-F76A-4B2E-A985-1379625EFDE2}" type="pres">
      <dgm:prSet presAssocID="{98AD64E5-6FE4-4B88-918E-668B81E3B797}" presName="parentText" presStyleLbl="node1" presStyleIdx="10" presStyleCnt="11">
        <dgm:presLayoutVars>
          <dgm:chMax val="0"/>
          <dgm:bulletEnabled val="1"/>
        </dgm:presLayoutVars>
      </dgm:prSet>
      <dgm:spPr/>
      <dgm:t>
        <a:bodyPr/>
        <a:lstStyle/>
        <a:p>
          <a:endParaRPr lang="en-US"/>
        </a:p>
      </dgm:t>
    </dgm:pt>
    <dgm:pt modelId="{12785908-EBC2-404A-97FF-2F2EA6E8285F}" type="pres">
      <dgm:prSet presAssocID="{98AD64E5-6FE4-4B88-918E-668B81E3B797}" presName="negativeSpace" presStyleCnt="0"/>
      <dgm:spPr/>
    </dgm:pt>
    <dgm:pt modelId="{74FC883B-9CA2-4C99-92BA-F3A7779908CB}" type="pres">
      <dgm:prSet presAssocID="{98AD64E5-6FE4-4B88-918E-668B81E3B797}" presName="childText" presStyleLbl="conFgAcc1" presStyleIdx="10" presStyleCnt="11">
        <dgm:presLayoutVars>
          <dgm:bulletEnabled val="1"/>
        </dgm:presLayoutVars>
      </dgm:prSet>
      <dgm:spPr/>
    </dgm:pt>
  </dgm:ptLst>
  <dgm:cxnLst>
    <dgm:cxn modelId="{12F75F63-B686-4730-936B-114D4CA15180}" type="presOf" srcId="{B48F5C45-26B0-466B-BB60-1EDB7209D921}" destId="{B0E2232F-5F63-4511-A4F2-A73144F4D916}" srcOrd="0" destOrd="0" presId="urn:microsoft.com/office/officeart/2005/8/layout/list1"/>
    <dgm:cxn modelId="{B0117AB8-690D-4C62-8E09-030FFA96DB90}" type="presOf" srcId="{0F53146E-662B-4A77-B0DF-C1F2AD6CF753}" destId="{E7DF188C-5D0A-4754-812D-7F8DFDFC5D78}" srcOrd="1" destOrd="0" presId="urn:microsoft.com/office/officeart/2005/8/layout/list1"/>
    <dgm:cxn modelId="{5DF617E6-58F2-4931-8FA7-28524C4F2678}" type="presOf" srcId="{0F53146E-662B-4A77-B0DF-C1F2AD6CF753}" destId="{C1D14667-60C8-4484-B45D-EE363F14798C}" srcOrd="0" destOrd="0" presId="urn:microsoft.com/office/officeart/2005/8/layout/list1"/>
    <dgm:cxn modelId="{9F9C643B-82F7-476E-B446-BFBE200C29F9}" type="presOf" srcId="{98AD64E5-6FE4-4B88-918E-668B81E3B797}" destId="{8D86BE5A-F76A-4B2E-A985-1379625EFDE2}" srcOrd="1" destOrd="0" presId="urn:microsoft.com/office/officeart/2005/8/layout/list1"/>
    <dgm:cxn modelId="{AEBB29AD-08E2-4F78-B68F-17900BBB188C}" type="presOf" srcId="{98AD64E5-6FE4-4B88-918E-668B81E3B797}" destId="{6F40F285-AD24-4E47-9416-F1157FF0CC4B}" srcOrd="0" destOrd="0" presId="urn:microsoft.com/office/officeart/2005/8/layout/list1"/>
    <dgm:cxn modelId="{DACDBCE8-693D-4445-B4CA-4D6BFD2CA8DE}" type="presOf" srcId="{E508A300-FE41-4507-ADD6-0EB4EAF2F3DB}" destId="{ABBA4B2D-EB27-4D23-90F9-BEFC1F24F214}" srcOrd="0" destOrd="0" presId="urn:microsoft.com/office/officeart/2005/8/layout/list1"/>
    <dgm:cxn modelId="{67083465-1D9E-4510-A50F-61E5D8B1D13A}" type="presOf" srcId="{1B5DEDA2-3197-43CE-ADC4-41350C194389}" destId="{06210048-5C6D-49B8-AF9A-805F96AA32AC}" srcOrd="1" destOrd="0" presId="urn:microsoft.com/office/officeart/2005/8/layout/list1"/>
    <dgm:cxn modelId="{F65126F1-FEF1-4085-8675-E585B5C20E58}" srcId="{D173098F-0D8A-4BC9-9C2C-F6B8ADBE2147}" destId="{B48F5C45-26B0-466B-BB60-1EDB7209D921}" srcOrd="3" destOrd="0" parTransId="{8D1D5A04-BBE6-4123-90A8-5E41A9BFD1A5}" sibTransId="{EB387193-E699-424C-A6E5-7A635DD97BFA}"/>
    <dgm:cxn modelId="{CD276FDA-EC81-43A4-8D5F-F46039D34AAF}" type="presOf" srcId="{CBB92703-7E35-4FFC-B313-B6C2EC5A0B41}" destId="{1E70AAF7-A43F-4459-A9DD-2DBA6CB5F1E6}" srcOrd="0" destOrd="0" presId="urn:microsoft.com/office/officeart/2005/8/layout/list1"/>
    <dgm:cxn modelId="{09DFBF99-46D5-4423-A6F0-3B19BD689716}" type="presOf" srcId="{1B5DEDA2-3197-43CE-ADC4-41350C194389}" destId="{1E1E8ACB-1D78-45FA-A38F-BA682A2D2A0B}" srcOrd="0" destOrd="0" presId="urn:microsoft.com/office/officeart/2005/8/layout/list1"/>
    <dgm:cxn modelId="{8B074330-C801-4D4E-8979-1C7B9F23EC27}" type="presOf" srcId="{73B7A3BD-EA06-41E2-B723-99B1FBCC1736}" destId="{FB89C665-CFEF-40FB-9AEC-95A69068B184}" srcOrd="0" destOrd="0" presId="urn:microsoft.com/office/officeart/2005/8/layout/list1"/>
    <dgm:cxn modelId="{A1428895-0227-40C2-9BD6-612E3C3A560F}" type="presOf" srcId="{E7E1A360-11CB-49D8-9523-17C40491C487}" destId="{5C7CBB5F-5181-4C8B-A888-53FD71F0B3D6}" srcOrd="1" destOrd="0" presId="urn:microsoft.com/office/officeart/2005/8/layout/list1"/>
    <dgm:cxn modelId="{C8E5E16C-F486-453D-859A-BEB88D649E37}" type="presOf" srcId="{C9BCCCAF-01EF-468C-9E63-6B224D5B28DD}" destId="{557CE80A-D467-4A91-B671-E091ABFD889C}" srcOrd="0" destOrd="0" presId="urn:microsoft.com/office/officeart/2005/8/layout/list1"/>
    <dgm:cxn modelId="{D263E6A1-18BB-4B11-A195-841845AFB19D}" srcId="{D173098F-0D8A-4BC9-9C2C-F6B8ADBE2147}" destId="{C9BCCCAF-01EF-468C-9E63-6B224D5B28DD}" srcOrd="7" destOrd="0" parTransId="{27A07FA0-5168-496D-B668-501911C7C09F}" sibTransId="{739821AB-C7BE-4ECA-AE9C-446830C2EB7F}"/>
    <dgm:cxn modelId="{80BEAAFA-297D-4161-81E8-BD9F4C77C16E}" type="presOf" srcId="{70D242BF-29F9-469D-B8AD-115D3A192924}" destId="{B373D9C4-E3AA-46B0-9F7F-2EB4E719A110}" srcOrd="0" destOrd="0" presId="urn:microsoft.com/office/officeart/2005/8/layout/list1"/>
    <dgm:cxn modelId="{394AC482-34A7-45C8-8D7E-DE84B26AB090}" srcId="{D173098F-0D8A-4BC9-9C2C-F6B8ADBE2147}" destId="{1B5DEDA2-3197-43CE-ADC4-41350C194389}" srcOrd="5" destOrd="0" parTransId="{7F4A7AA1-A6F7-4135-AC6A-311819F4C1A9}" sibTransId="{1FF52AA3-78CE-494A-838C-C80449CBCCA8}"/>
    <dgm:cxn modelId="{700D07F8-B183-408F-9808-992482D6A82D}" srcId="{D173098F-0D8A-4BC9-9C2C-F6B8ADBE2147}" destId="{70D242BF-29F9-469D-B8AD-115D3A192924}" srcOrd="2" destOrd="0" parTransId="{647674C9-D8A6-4C8E-88E9-41A9C00EB974}" sibTransId="{ED7C6EAE-CE12-421F-BC34-10F11BD262B9}"/>
    <dgm:cxn modelId="{F9DFAC5D-7733-48EF-8A61-43EB24246A4D}" type="presOf" srcId="{E7E1A360-11CB-49D8-9523-17C40491C487}" destId="{9045CE1A-B50F-43A0-A4B9-BDFAF8417F8E}" srcOrd="0" destOrd="0" presId="urn:microsoft.com/office/officeart/2005/8/layout/list1"/>
    <dgm:cxn modelId="{C6878451-6E19-4319-BA5F-D6E9D606FF82}" type="presOf" srcId="{FCBAF8A7-A17E-4F4A-847B-42F4CEA88CD8}" destId="{66557F1E-4A62-46BE-9E89-7109628EABD0}" srcOrd="1" destOrd="0" presId="urn:microsoft.com/office/officeart/2005/8/layout/list1"/>
    <dgm:cxn modelId="{F81D4954-C899-43B2-86D7-30103E3B4C95}" type="presOf" srcId="{FCBAF8A7-A17E-4F4A-847B-42F4CEA88CD8}" destId="{6CE8264F-0181-400B-883A-DE9A927EFA89}" srcOrd="0" destOrd="0" presId="urn:microsoft.com/office/officeart/2005/8/layout/list1"/>
    <dgm:cxn modelId="{40364A41-31AB-40C7-8BD4-76971FE211F0}" srcId="{D173098F-0D8A-4BC9-9C2C-F6B8ADBE2147}" destId="{E7E1A360-11CB-49D8-9523-17C40491C487}" srcOrd="1" destOrd="0" parTransId="{8610FF76-B93C-41F7-80F6-B58F20E9368D}" sibTransId="{5440A83C-9413-42A1-AF52-9CB71927CB0D}"/>
    <dgm:cxn modelId="{5BF118B2-AC0A-40B8-A13C-F535AC86B5D4}" type="presOf" srcId="{73B7A3BD-EA06-41E2-B723-99B1FBCC1736}" destId="{A4B23C0D-8F0D-464F-94E3-F6ABCDB22E94}" srcOrd="1" destOrd="0" presId="urn:microsoft.com/office/officeart/2005/8/layout/list1"/>
    <dgm:cxn modelId="{8F61FDE8-C323-4839-A491-E675BA745856}" srcId="{D173098F-0D8A-4BC9-9C2C-F6B8ADBE2147}" destId="{E508A300-FE41-4507-ADD6-0EB4EAF2F3DB}" srcOrd="8" destOrd="0" parTransId="{C4530280-02A6-4304-A97E-262118ACD5E9}" sibTransId="{643495ED-9886-4103-8A6E-E140FC0C4E6B}"/>
    <dgm:cxn modelId="{41CCC435-9709-4C63-A618-D7787EEF207A}" type="presOf" srcId="{D173098F-0D8A-4BC9-9C2C-F6B8ADBE2147}" destId="{9C9EA847-0D52-44BA-AF27-904333AEA1CE}" srcOrd="0" destOrd="0" presId="urn:microsoft.com/office/officeart/2005/8/layout/list1"/>
    <dgm:cxn modelId="{A9DD01A4-93E5-4C03-A752-59A1663D0111}" type="presOf" srcId="{E508A300-FE41-4507-ADD6-0EB4EAF2F3DB}" destId="{8A0E27C1-7C00-4083-8FDC-1BF3212CA24B}" srcOrd="1" destOrd="0" presId="urn:microsoft.com/office/officeart/2005/8/layout/list1"/>
    <dgm:cxn modelId="{8D3563A8-F6F9-441C-8C47-C8A5F504C0F3}" type="presOf" srcId="{B48F5C45-26B0-466B-BB60-1EDB7209D921}" destId="{87A67EDB-A46F-43C9-97F3-DFA61D2E859A}" srcOrd="1" destOrd="0" presId="urn:microsoft.com/office/officeart/2005/8/layout/list1"/>
    <dgm:cxn modelId="{C4B41A6C-FBC2-45DD-88C3-83B0DEA12FEB}" srcId="{D173098F-0D8A-4BC9-9C2C-F6B8ADBE2147}" destId="{FCBAF8A7-A17E-4F4A-847B-42F4CEA88CD8}" srcOrd="9" destOrd="0" parTransId="{AEB01F1D-FBE1-4248-ADB4-3EBE46A4D575}" sibTransId="{D2A509B7-4E65-42A1-AE17-476122FBC203}"/>
    <dgm:cxn modelId="{57FD3B43-1404-4EDC-B214-0D85DC753B5C}" type="presOf" srcId="{C9BCCCAF-01EF-468C-9E63-6B224D5B28DD}" destId="{13CDC921-38EC-440F-A587-5572AE3533AC}" srcOrd="1" destOrd="0" presId="urn:microsoft.com/office/officeart/2005/8/layout/list1"/>
    <dgm:cxn modelId="{C4E784D9-B73E-48E8-83D7-BE536482DAD7}" type="presOf" srcId="{70D242BF-29F9-469D-B8AD-115D3A192924}" destId="{F1570A21-3E91-4CE1-B6AF-47FA38F9DDE5}" srcOrd="1" destOrd="0" presId="urn:microsoft.com/office/officeart/2005/8/layout/list1"/>
    <dgm:cxn modelId="{B270B4FF-9419-43CA-8E13-85964CF8C997}" srcId="{D173098F-0D8A-4BC9-9C2C-F6B8ADBE2147}" destId="{73B7A3BD-EA06-41E2-B723-99B1FBCC1736}" srcOrd="4" destOrd="0" parTransId="{1AF9B8C6-6B7D-4A78-978B-ADAA76EE147A}" sibTransId="{25228117-C363-451F-8B5A-B06E4C9B3B3B}"/>
    <dgm:cxn modelId="{409595C9-C95C-4285-BD26-FFABFEE4AD12}" srcId="{D173098F-0D8A-4BC9-9C2C-F6B8ADBE2147}" destId="{0F53146E-662B-4A77-B0DF-C1F2AD6CF753}" srcOrd="0" destOrd="0" parTransId="{8D112753-EE12-4BF8-8DCC-599668033EBC}" sibTransId="{E44900BE-2F22-4B47-B3AC-E25CE5108614}"/>
    <dgm:cxn modelId="{5F938249-3B67-43FE-890F-A92836F383A2}" type="presOf" srcId="{CBB92703-7E35-4FFC-B313-B6C2EC5A0B41}" destId="{338BC286-FC3A-40DA-8762-AAFA54D4E9C3}" srcOrd="1" destOrd="0" presId="urn:microsoft.com/office/officeart/2005/8/layout/list1"/>
    <dgm:cxn modelId="{85BA2322-E834-4A0B-AAD4-94D4496EAF5A}" srcId="{D173098F-0D8A-4BC9-9C2C-F6B8ADBE2147}" destId="{98AD64E5-6FE4-4B88-918E-668B81E3B797}" srcOrd="10" destOrd="0" parTransId="{2058F32F-85FF-4604-A85C-19AF668670F1}" sibTransId="{55049366-F7B0-46CD-8E4D-8DBFDB661D49}"/>
    <dgm:cxn modelId="{A55AD069-5C0D-4E1F-9F1E-C06B6F2C81CF}" srcId="{D173098F-0D8A-4BC9-9C2C-F6B8ADBE2147}" destId="{CBB92703-7E35-4FFC-B313-B6C2EC5A0B41}" srcOrd="6" destOrd="0" parTransId="{E7FED883-A27C-45B6-9CE9-EC0996AD09E5}" sibTransId="{9B130DD4-1D0A-4A48-9BF0-4F5929C0D1BA}"/>
    <dgm:cxn modelId="{F82887F4-29AE-47EB-8A93-356E3F85D77C}" type="presParOf" srcId="{9C9EA847-0D52-44BA-AF27-904333AEA1CE}" destId="{58D8400C-75A7-4307-B5DE-EE23051B8C56}" srcOrd="0" destOrd="0" presId="urn:microsoft.com/office/officeart/2005/8/layout/list1"/>
    <dgm:cxn modelId="{3F3BB18F-FAFC-43D5-A1F6-28A38BD9EDB6}" type="presParOf" srcId="{58D8400C-75A7-4307-B5DE-EE23051B8C56}" destId="{C1D14667-60C8-4484-B45D-EE363F14798C}" srcOrd="0" destOrd="0" presId="urn:microsoft.com/office/officeart/2005/8/layout/list1"/>
    <dgm:cxn modelId="{40029A43-2403-446E-B07C-31607AE1C644}" type="presParOf" srcId="{58D8400C-75A7-4307-B5DE-EE23051B8C56}" destId="{E7DF188C-5D0A-4754-812D-7F8DFDFC5D78}" srcOrd="1" destOrd="0" presId="urn:microsoft.com/office/officeart/2005/8/layout/list1"/>
    <dgm:cxn modelId="{D1D852C7-B1E6-41E0-BA40-A289A6843A54}" type="presParOf" srcId="{9C9EA847-0D52-44BA-AF27-904333AEA1CE}" destId="{5F193AB0-5383-43ED-BA01-2AA20521D917}" srcOrd="1" destOrd="0" presId="urn:microsoft.com/office/officeart/2005/8/layout/list1"/>
    <dgm:cxn modelId="{A3FADD2A-0F4E-4A23-8DE8-04681C21B978}" type="presParOf" srcId="{9C9EA847-0D52-44BA-AF27-904333AEA1CE}" destId="{F788541F-1023-4073-9521-8BB9ADD941E4}" srcOrd="2" destOrd="0" presId="urn:microsoft.com/office/officeart/2005/8/layout/list1"/>
    <dgm:cxn modelId="{59DA6DF6-588E-4D21-B493-B3A007DEFDFA}" type="presParOf" srcId="{9C9EA847-0D52-44BA-AF27-904333AEA1CE}" destId="{84D48E9E-8090-4955-953E-20D97D1F1BFF}" srcOrd="3" destOrd="0" presId="urn:microsoft.com/office/officeart/2005/8/layout/list1"/>
    <dgm:cxn modelId="{E4A58F25-DE17-41A0-86AB-4B1960E6BD17}" type="presParOf" srcId="{9C9EA847-0D52-44BA-AF27-904333AEA1CE}" destId="{EBEE1D18-95FB-4327-BD13-F394C85AA929}" srcOrd="4" destOrd="0" presId="urn:microsoft.com/office/officeart/2005/8/layout/list1"/>
    <dgm:cxn modelId="{9C25DE4A-24AE-43A4-A298-45701FC1A57A}" type="presParOf" srcId="{EBEE1D18-95FB-4327-BD13-F394C85AA929}" destId="{9045CE1A-B50F-43A0-A4B9-BDFAF8417F8E}" srcOrd="0" destOrd="0" presId="urn:microsoft.com/office/officeart/2005/8/layout/list1"/>
    <dgm:cxn modelId="{1851AAB2-FBF4-43E2-9EFC-56D4BCB5FF5A}" type="presParOf" srcId="{EBEE1D18-95FB-4327-BD13-F394C85AA929}" destId="{5C7CBB5F-5181-4C8B-A888-53FD71F0B3D6}" srcOrd="1" destOrd="0" presId="urn:microsoft.com/office/officeart/2005/8/layout/list1"/>
    <dgm:cxn modelId="{1974B9A9-CAC9-479E-B510-14FD6474BE80}" type="presParOf" srcId="{9C9EA847-0D52-44BA-AF27-904333AEA1CE}" destId="{D8DB8CC7-D428-47C5-80B0-077F3CCC2A54}" srcOrd="5" destOrd="0" presId="urn:microsoft.com/office/officeart/2005/8/layout/list1"/>
    <dgm:cxn modelId="{BD821A24-1E7E-4B27-9AB3-5FC1B9DB7618}" type="presParOf" srcId="{9C9EA847-0D52-44BA-AF27-904333AEA1CE}" destId="{A9543099-F196-4FD7-B856-04D90B2EA78E}" srcOrd="6" destOrd="0" presId="urn:microsoft.com/office/officeart/2005/8/layout/list1"/>
    <dgm:cxn modelId="{B59EFDF9-E31D-42D5-9AFD-1069DCCC0C3E}" type="presParOf" srcId="{9C9EA847-0D52-44BA-AF27-904333AEA1CE}" destId="{69025179-D1AD-4BFC-951D-272B9A53551F}" srcOrd="7" destOrd="0" presId="urn:microsoft.com/office/officeart/2005/8/layout/list1"/>
    <dgm:cxn modelId="{1E79C166-5A82-4F39-B60D-B14824E9A2BA}" type="presParOf" srcId="{9C9EA847-0D52-44BA-AF27-904333AEA1CE}" destId="{0FA8BAE3-8A61-487B-A105-68897DDB8CD0}" srcOrd="8" destOrd="0" presId="urn:microsoft.com/office/officeart/2005/8/layout/list1"/>
    <dgm:cxn modelId="{2B06FDE8-FABF-4F14-8517-33EC2D7F88B2}" type="presParOf" srcId="{0FA8BAE3-8A61-487B-A105-68897DDB8CD0}" destId="{B373D9C4-E3AA-46B0-9F7F-2EB4E719A110}" srcOrd="0" destOrd="0" presId="urn:microsoft.com/office/officeart/2005/8/layout/list1"/>
    <dgm:cxn modelId="{389E0812-7F85-46CE-B4DD-3CEF5461D63C}" type="presParOf" srcId="{0FA8BAE3-8A61-487B-A105-68897DDB8CD0}" destId="{F1570A21-3E91-4CE1-B6AF-47FA38F9DDE5}" srcOrd="1" destOrd="0" presId="urn:microsoft.com/office/officeart/2005/8/layout/list1"/>
    <dgm:cxn modelId="{FE577FF0-9979-4A76-9B58-C079E08F2B69}" type="presParOf" srcId="{9C9EA847-0D52-44BA-AF27-904333AEA1CE}" destId="{3A1A776E-15AE-475D-B932-16E1B8B57619}" srcOrd="9" destOrd="0" presId="urn:microsoft.com/office/officeart/2005/8/layout/list1"/>
    <dgm:cxn modelId="{C30382FD-D745-486D-AA37-AEAA607348BC}" type="presParOf" srcId="{9C9EA847-0D52-44BA-AF27-904333AEA1CE}" destId="{35962C79-A819-4CA7-9B5A-3441662D25E0}" srcOrd="10" destOrd="0" presId="urn:microsoft.com/office/officeart/2005/8/layout/list1"/>
    <dgm:cxn modelId="{5F8F478D-BE78-46F5-B86A-BC3C1B966C67}" type="presParOf" srcId="{9C9EA847-0D52-44BA-AF27-904333AEA1CE}" destId="{A08CB475-C135-4781-9D0B-94E6CA3655E0}" srcOrd="11" destOrd="0" presId="urn:microsoft.com/office/officeart/2005/8/layout/list1"/>
    <dgm:cxn modelId="{815D73D9-A817-416C-8D39-653982D204E6}" type="presParOf" srcId="{9C9EA847-0D52-44BA-AF27-904333AEA1CE}" destId="{23AE044A-62A6-4DBA-9CD4-710E6CCB2563}" srcOrd="12" destOrd="0" presId="urn:microsoft.com/office/officeart/2005/8/layout/list1"/>
    <dgm:cxn modelId="{C2B8C5A5-78A5-4873-8CDE-DE4F14C21490}" type="presParOf" srcId="{23AE044A-62A6-4DBA-9CD4-710E6CCB2563}" destId="{B0E2232F-5F63-4511-A4F2-A73144F4D916}" srcOrd="0" destOrd="0" presId="urn:microsoft.com/office/officeart/2005/8/layout/list1"/>
    <dgm:cxn modelId="{2882D5BA-2793-44FA-A9A0-D5730EC8EA1D}" type="presParOf" srcId="{23AE044A-62A6-4DBA-9CD4-710E6CCB2563}" destId="{87A67EDB-A46F-43C9-97F3-DFA61D2E859A}" srcOrd="1" destOrd="0" presId="urn:microsoft.com/office/officeart/2005/8/layout/list1"/>
    <dgm:cxn modelId="{6F272978-A540-4758-A744-5344311613C5}" type="presParOf" srcId="{9C9EA847-0D52-44BA-AF27-904333AEA1CE}" destId="{1C3C13AB-031B-46C0-A4E2-7CA8C0FD6CE4}" srcOrd="13" destOrd="0" presId="urn:microsoft.com/office/officeart/2005/8/layout/list1"/>
    <dgm:cxn modelId="{FE797D19-EF6B-4423-824B-63D6D00EE021}" type="presParOf" srcId="{9C9EA847-0D52-44BA-AF27-904333AEA1CE}" destId="{7E9CC3D1-0183-485C-8076-44A112773065}" srcOrd="14" destOrd="0" presId="urn:microsoft.com/office/officeart/2005/8/layout/list1"/>
    <dgm:cxn modelId="{688F4DEE-7A3D-47BE-9EE3-B69D1B90C8DA}" type="presParOf" srcId="{9C9EA847-0D52-44BA-AF27-904333AEA1CE}" destId="{22B44C40-3404-4DC1-A622-D76CBC537C71}" srcOrd="15" destOrd="0" presId="urn:microsoft.com/office/officeart/2005/8/layout/list1"/>
    <dgm:cxn modelId="{CEEA8D02-6777-4297-A06B-1CAC0E180458}" type="presParOf" srcId="{9C9EA847-0D52-44BA-AF27-904333AEA1CE}" destId="{5092A7AF-F85A-4683-BE9B-5D040FD1F04B}" srcOrd="16" destOrd="0" presId="urn:microsoft.com/office/officeart/2005/8/layout/list1"/>
    <dgm:cxn modelId="{73B8FA0F-46EB-40FC-B2A8-EA9B2F8F09E2}" type="presParOf" srcId="{5092A7AF-F85A-4683-BE9B-5D040FD1F04B}" destId="{FB89C665-CFEF-40FB-9AEC-95A69068B184}" srcOrd="0" destOrd="0" presId="urn:microsoft.com/office/officeart/2005/8/layout/list1"/>
    <dgm:cxn modelId="{9B963B06-FDC6-41F5-A6CF-D97BA92FB77F}" type="presParOf" srcId="{5092A7AF-F85A-4683-BE9B-5D040FD1F04B}" destId="{A4B23C0D-8F0D-464F-94E3-F6ABCDB22E94}" srcOrd="1" destOrd="0" presId="urn:microsoft.com/office/officeart/2005/8/layout/list1"/>
    <dgm:cxn modelId="{4BE9D4ED-6B57-4681-BD4C-06CAD95BAD85}" type="presParOf" srcId="{9C9EA847-0D52-44BA-AF27-904333AEA1CE}" destId="{DF714603-F8F9-4654-A2F2-D0C265350789}" srcOrd="17" destOrd="0" presId="urn:microsoft.com/office/officeart/2005/8/layout/list1"/>
    <dgm:cxn modelId="{ADF2E80C-898B-4EE5-B8AB-C0B337B0AB92}" type="presParOf" srcId="{9C9EA847-0D52-44BA-AF27-904333AEA1CE}" destId="{2B14A9F1-D273-4B0A-9B8C-4B56F8A4BA79}" srcOrd="18" destOrd="0" presId="urn:microsoft.com/office/officeart/2005/8/layout/list1"/>
    <dgm:cxn modelId="{A5E95388-4A40-4873-8659-8D41E7EDC6DB}" type="presParOf" srcId="{9C9EA847-0D52-44BA-AF27-904333AEA1CE}" destId="{9E373B2C-394E-4E8B-B2FB-DC244FB28757}" srcOrd="19" destOrd="0" presId="urn:microsoft.com/office/officeart/2005/8/layout/list1"/>
    <dgm:cxn modelId="{2D3E74F5-F050-47B7-B79F-90F493ECEF4D}" type="presParOf" srcId="{9C9EA847-0D52-44BA-AF27-904333AEA1CE}" destId="{3494C8FB-7C0E-4E19-8068-E35FD38C1983}" srcOrd="20" destOrd="0" presId="urn:microsoft.com/office/officeart/2005/8/layout/list1"/>
    <dgm:cxn modelId="{8830AD5D-5510-4AF5-BF9A-ED5A6C4A2A5C}" type="presParOf" srcId="{3494C8FB-7C0E-4E19-8068-E35FD38C1983}" destId="{1E1E8ACB-1D78-45FA-A38F-BA682A2D2A0B}" srcOrd="0" destOrd="0" presId="urn:microsoft.com/office/officeart/2005/8/layout/list1"/>
    <dgm:cxn modelId="{34E388B8-C56D-462B-B4FF-BAA1C2A73CCE}" type="presParOf" srcId="{3494C8FB-7C0E-4E19-8068-E35FD38C1983}" destId="{06210048-5C6D-49B8-AF9A-805F96AA32AC}" srcOrd="1" destOrd="0" presId="urn:microsoft.com/office/officeart/2005/8/layout/list1"/>
    <dgm:cxn modelId="{001BF044-5592-47D8-A0F9-1B359493425B}" type="presParOf" srcId="{9C9EA847-0D52-44BA-AF27-904333AEA1CE}" destId="{9C2F33E5-77F9-43DA-87CA-ED9B6F53E9CF}" srcOrd="21" destOrd="0" presId="urn:microsoft.com/office/officeart/2005/8/layout/list1"/>
    <dgm:cxn modelId="{917D49A4-8765-4675-9DB1-99F9C7956FAB}" type="presParOf" srcId="{9C9EA847-0D52-44BA-AF27-904333AEA1CE}" destId="{89292E05-CB65-4022-B1B3-DD7757E3AF8B}" srcOrd="22" destOrd="0" presId="urn:microsoft.com/office/officeart/2005/8/layout/list1"/>
    <dgm:cxn modelId="{F1189E18-A318-49A0-8D92-65333F395528}" type="presParOf" srcId="{9C9EA847-0D52-44BA-AF27-904333AEA1CE}" destId="{8E5E5431-EE84-4F1B-9F15-0417939CF275}" srcOrd="23" destOrd="0" presId="urn:microsoft.com/office/officeart/2005/8/layout/list1"/>
    <dgm:cxn modelId="{EEBB3F63-1E6F-41C5-A8D0-BC41A10915C4}" type="presParOf" srcId="{9C9EA847-0D52-44BA-AF27-904333AEA1CE}" destId="{2C3A0DD8-8AE1-4F65-84E8-38BD0A6F70D6}" srcOrd="24" destOrd="0" presId="urn:microsoft.com/office/officeart/2005/8/layout/list1"/>
    <dgm:cxn modelId="{16B696A3-743B-4D4F-AECF-1E4184007BAB}" type="presParOf" srcId="{2C3A0DD8-8AE1-4F65-84E8-38BD0A6F70D6}" destId="{1E70AAF7-A43F-4459-A9DD-2DBA6CB5F1E6}" srcOrd="0" destOrd="0" presId="urn:microsoft.com/office/officeart/2005/8/layout/list1"/>
    <dgm:cxn modelId="{0CF1D580-A5BF-49B7-8571-35707AFE4865}" type="presParOf" srcId="{2C3A0DD8-8AE1-4F65-84E8-38BD0A6F70D6}" destId="{338BC286-FC3A-40DA-8762-AAFA54D4E9C3}" srcOrd="1" destOrd="0" presId="urn:microsoft.com/office/officeart/2005/8/layout/list1"/>
    <dgm:cxn modelId="{07D514E3-4893-4979-B392-7E7F60B5BA0A}" type="presParOf" srcId="{9C9EA847-0D52-44BA-AF27-904333AEA1CE}" destId="{9F5A5D89-E1EE-4A42-87B5-EC70F0589D18}" srcOrd="25" destOrd="0" presId="urn:microsoft.com/office/officeart/2005/8/layout/list1"/>
    <dgm:cxn modelId="{7FE372F0-4B7A-4C81-81E7-D9EDF11CFBD2}" type="presParOf" srcId="{9C9EA847-0D52-44BA-AF27-904333AEA1CE}" destId="{2976F909-FBC6-47EE-8FB5-7BAFD2C8F056}" srcOrd="26" destOrd="0" presId="urn:microsoft.com/office/officeart/2005/8/layout/list1"/>
    <dgm:cxn modelId="{B2EBF8BD-8D12-4B99-A7A7-3C0693CE5BC8}" type="presParOf" srcId="{9C9EA847-0D52-44BA-AF27-904333AEA1CE}" destId="{BC4A1448-5EC3-4FED-895E-6928A8E9C171}" srcOrd="27" destOrd="0" presId="urn:microsoft.com/office/officeart/2005/8/layout/list1"/>
    <dgm:cxn modelId="{B49260DE-AB2C-4DB0-B0BE-68DF2DC41109}" type="presParOf" srcId="{9C9EA847-0D52-44BA-AF27-904333AEA1CE}" destId="{60251E7A-3C77-4FAA-96CA-97176E1E8548}" srcOrd="28" destOrd="0" presId="urn:microsoft.com/office/officeart/2005/8/layout/list1"/>
    <dgm:cxn modelId="{0B00C207-6391-46D6-A9E2-41748B3BB5D6}" type="presParOf" srcId="{60251E7A-3C77-4FAA-96CA-97176E1E8548}" destId="{557CE80A-D467-4A91-B671-E091ABFD889C}" srcOrd="0" destOrd="0" presId="urn:microsoft.com/office/officeart/2005/8/layout/list1"/>
    <dgm:cxn modelId="{A2EE54BD-4FD4-4591-B7B2-ED6A4AA24D30}" type="presParOf" srcId="{60251E7A-3C77-4FAA-96CA-97176E1E8548}" destId="{13CDC921-38EC-440F-A587-5572AE3533AC}" srcOrd="1" destOrd="0" presId="urn:microsoft.com/office/officeart/2005/8/layout/list1"/>
    <dgm:cxn modelId="{251BD77B-FB73-4CB2-9CC6-112F2398445A}" type="presParOf" srcId="{9C9EA847-0D52-44BA-AF27-904333AEA1CE}" destId="{0ED48653-3D7B-4B21-88A4-C330C0CDB8BA}" srcOrd="29" destOrd="0" presId="urn:microsoft.com/office/officeart/2005/8/layout/list1"/>
    <dgm:cxn modelId="{B55BD5E6-1EBB-4AE4-B6ED-0A1D41C84C65}" type="presParOf" srcId="{9C9EA847-0D52-44BA-AF27-904333AEA1CE}" destId="{357A4407-8634-427B-A483-9CF7C9953330}" srcOrd="30" destOrd="0" presId="urn:microsoft.com/office/officeart/2005/8/layout/list1"/>
    <dgm:cxn modelId="{6CAD71EA-59E8-45B3-9087-A9E86EE46864}" type="presParOf" srcId="{9C9EA847-0D52-44BA-AF27-904333AEA1CE}" destId="{F18F09D8-497B-4FE0-AE41-4852E73FA0F2}" srcOrd="31" destOrd="0" presId="urn:microsoft.com/office/officeart/2005/8/layout/list1"/>
    <dgm:cxn modelId="{8C188AC6-106B-4E52-A033-501CDCBA9016}" type="presParOf" srcId="{9C9EA847-0D52-44BA-AF27-904333AEA1CE}" destId="{AC5246C8-C830-4CB3-9F56-EA39FE93CE40}" srcOrd="32" destOrd="0" presId="urn:microsoft.com/office/officeart/2005/8/layout/list1"/>
    <dgm:cxn modelId="{67E8DD58-6A2E-4C91-97C4-A89B5260CB53}" type="presParOf" srcId="{AC5246C8-C830-4CB3-9F56-EA39FE93CE40}" destId="{ABBA4B2D-EB27-4D23-90F9-BEFC1F24F214}" srcOrd="0" destOrd="0" presId="urn:microsoft.com/office/officeart/2005/8/layout/list1"/>
    <dgm:cxn modelId="{F10C7B60-237F-4CD2-8CFA-F2D451050CDE}" type="presParOf" srcId="{AC5246C8-C830-4CB3-9F56-EA39FE93CE40}" destId="{8A0E27C1-7C00-4083-8FDC-1BF3212CA24B}" srcOrd="1" destOrd="0" presId="urn:microsoft.com/office/officeart/2005/8/layout/list1"/>
    <dgm:cxn modelId="{25E736C3-4CE9-416A-8694-F698850C4F72}" type="presParOf" srcId="{9C9EA847-0D52-44BA-AF27-904333AEA1CE}" destId="{B3D00290-171A-4A06-B5EA-7F73BD3D73F6}" srcOrd="33" destOrd="0" presId="urn:microsoft.com/office/officeart/2005/8/layout/list1"/>
    <dgm:cxn modelId="{C7D3CE51-8787-4F98-AEDE-17727E260976}" type="presParOf" srcId="{9C9EA847-0D52-44BA-AF27-904333AEA1CE}" destId="{4D825064-AF6E-47E6-A7E4-2F2B918556E3}" srcOrd="34" destOrd="0" presId="urn:microsoft.com/office/officeart/2005/8/layout/list1"/>
    <dgm:cxn modelId="{82192C2A-821A-4DC8-87C8-A2F7DFE637E4}" type="presParOf" srcId="{9C9EA847-0D52-44BA-AF27-904333AEA1CE}" destId="{FD448B28-1B6B-423D-B190-62D4585958A8}" srcOrd="35" destOrd="0" presId="urn:microsoft.com/office/officeart/2005/8/layout/list1"/>
    <dgm:cxn modelId="{65946883-68FE-4DD9-9A4E-417EB1F7C15A}" type="presParOf" srcId="{9C9EA847-0D52-44BA-AF27-904333AEA1CE}" destId="{AEF666BA-C21B-42B7-8C3A-5E2C808FE986}" srcOrd="36" destOrd="0" presId="urn:microsoft.com/office/officeart/2005/8/layout/list1"/>
    <dgm:cxn modelId="{04A3B2FB-FFA5-4B84-A950-E7B309C286D2}" type="presParOf" srcId="{AEF666BA-C21B-42B7-8C3A-5E2C808FE986}" destId="{6CE8264F-0181-400B-883A-DE9A927EFA89}" srcOrd="0" destOrd="0" presId="urn:microsoft.com/office/officeart/2005/8/layout/list1"/>
    <dgm:cxn modelId="{B0398383-BA56-4E56-A1AD-CC28B4F65343}" type="presParOf" srcId="{AEF666BA-C21B-42B7-8C3A-5E2C808FE986}" destId="{66557F1E-4A62-46BE-9E89-7109628EABD0}" srcOrd="1" destOrd="0" presId="urn:microsoft.com/office/officeart/2005/8/layout/list1"/>
    <dgm:cxn modelId="{64316708-3E35-4E70-85E3-4F7630EE4FD6}" type="presParOf" srcId="{9C9EA847-0D52-44BA-AF27-904333AEA1CE}" destId="{3FEC4AA6-FE4F-48BC-BE6F-BA34C7BA8551}" srcOrd="37" destOrd="0" presId="urn:microsoft.com/office/officeart/2005/8/layout/list1"/>
    <dgm:cxn modelId="{9F840353-37F2-4007-B5DF-CB1956D9197D}" type="presParOf" srcId="{9C9EA847-0D52-44BA-AF27-904333AEA1CE}" destId="{6BDCD181-9F26-47B8-A317-BAEF7251DB6A}" srcOrd="38" destOrd="0" presId="urn:microsoft.com/office/officeart/2005/8/layout/list1"/>
    <dgm:cxn modelId="{42086AD8-72B3-461B-969E-410C8F02939A}" type="presParOf" srcId="{9C9EA847-0D52-44BA-AF27-904333AEA1CE}" destId="{11C3198E-8237-49CE-9F0E-D02B6F07A0F3}" srcOrd="39" destOrd="0" presId="urn:microsoft.com/office/officeart/2005/8/layout/list1"/>
    <dgm:cxn modelId="{C97763DD-F392-4ACF-9EF6-70FD2ED5E746}" type="presParOf" srcId="{9C9EA847-0D52-44BA-AF27-904333AEA1CE}" destId="{47C6CE10-833B-4F11-AE33-03B1729B41A6}" srcOrd="40" destOrd="0" presId="urn:microsoft.com/office/officeart/2005/8/layout/list1"/>
    <dgm:cxn modelId="{84FC00C0-81F5-483B-B5A7-EAA4DD922E42}" type="presParOf" srcId="{47C6CE10-833B-4F11-AE33-03B1729B41A6}" destId="{6F40F285-AD24-4E47-9416-F1157FF0CC4B}" srcOrd="0" destOrd="0" presId="urn:microsoft.com/office/officeart/2005/8/layout/list1"/>
    <dgm:cxn modelId="{FA929C5A-03D0-4C05-B2E2-8EFBB7E8CFBF}" type="presParOf" srcId="{47C6CE10-833B-4F11-AE33-03B1729B41A6}" destId="{8D86BE5A-F76A-4B2E-A985-1379625EFDE2}" srcOrd="1" destOrd="0" presId="urn:microsoft.com/office/officeart/2005/8/layout/list1"/>
    <dgm:cxn modelId="{5C99D488-3965-4902-8E89-AE48D8C7CDCD}" type="presParOf" srcId="{9C9EA847-0D52-44BA-AF27-904333AEA1CE}" destId="{12785908-EBC2-404A-97FF-2F2EA6E8285F}" srcOrd="41" destOrd="0" presId="urn:microsoft.com/office/officeart/2005/8/layout/list1"/>
    <dgm:cxn modelId="{FB270DB6-4E69-4ADB-BAD8-658A770960E4}" type="presParOf" srcId="{9C9EA847-0D52-44BA-AF27-904333AEA1CE}" destId="{74FC883B-9CA2-4C99-92BA-F3A7779908CB}" srcOrd="42" destOrd="0" presId="urn:microsoft.com/office/officeart/2005/8/layout/list1"/>
  </dgm:cxnLst>
  <dgm:bg>
    <a:noFill/>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788541F-1023-4073-9521-8BB9ADD941E4}">
      <dsp:nvSpPr>
        <dsp:cNvPr id="0" name=""/>
        <dsp:cNvSpPr/>
      </dsp:nvSpPr>
      <dsp:spPr>
        <a:xfrm>
          <a:off x="0" y="34381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E7DF188C-5D0A-4754-812D-7F8DFDFC5D78}">
      <dsp:nvSpPr>
        <dsp:cNvPr id="0" name=""/>
        <dsp:cNvSpPr/>
      </dsp:nvSpPr>
      <dsp:spPr>
        <a:xfrm>
          <a:off x="306880" y="24049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Drawworks</a:t>
          </a:r>
        </a:p>
      </dsp:txBody>
      <dsp:txXfrm>
        <a:off x="316967" y="250580"/>
        <a:ext cx="4276148" cy="186466"/>
      </dsp:txXfrm>
    </dsp:sp>
    <dsp:sp modelId="{A9543099-F196-4FD7-B856-04D90B2EA78E}">
      <dsp:nvSpPr>
        <dsp:cNvPr id="0" name=""/>
        <dsp:cNvSpPr/>
      </dsp:nvSpPr>
      <dsp:spPr>
        <a:xfrm>
          <a:off x="0" y="66133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C7CBB5F-5181-4C8B-A888-53FD71F0B3D6}">
      <dsp:nvSpPr>
        <dsp:cNvPr id="0" name=""/>
        <dsp:cNvSpPr/>
      </dsp:nvSpPr>
      <dsp:spPr>
        <a:xfrm>
          <a:off x="306880" y="55801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Iron Rughneck</a:t>
          </a:r>
        </a:p>
      </dsp:txBody>
      <dsp:txXfrm>
        <a:off x="316967" y="568100"/>
        <a:ext cx="4276148" cy="186466"/>
      </dsp:txXfrm>
    </dsp:sp>
    <dsp:sp modelId="{35962C79-A819-4CA7-9B5A-3441662D25E0}">
      <dsp:nvSpPr>
        <dsp:cNvPr id="0" name=""/>
        <dsp:cNvSpPr/>
      </dsp:nvSpPr>
      <dsp:spPr>
        <a:xfrm>
          <a:off x="0" y="97885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1570A21-3E91-4CE1-B6AF-47FA38F9DDE5}">
      <dsp:nvSpPr>
        <dsp:cNvPr id="0" name=""/>
        <dsp:cNvSpPr/>
      </dsp:nvSpPr>
      <dsp:spPr>
        <a:xfrm>
          <a:off x="306880" y="87553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Top Drive</a:t>
          </a:r>
        </a:p>
      </dsp:txBody>
      <dsp:txXfrm>
        <a:off x="316967" y="885620"/>
        <a:ext cx="4276148" cy="186466"/>
      </dsp:txXfrm>
    </dsp:sp>
    <dsp:sp modelId="{7E9CC3D1-0183-485C-8076-44A112773065}">
      <dsp:nvSpPr>
        <dsp:cNvPr id="0" name=""/>
        <dsp:cNvSpPr/>
      </dsp:nvSpPr>
      <dsp:spPr>
        <a:xfrm>
          <a:off x="0" y="129637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7A67EDB-A46F-43C9-97F3-DFA61D2E859A}">
      <dsp:nvSpPr>
        <dsp:cNvPr id="0" name=""/>
        <dsp:cNvSpPr/>
      </dsp:nvSpPr>
      <dsp:spPr>
        <a:xfrm>
          <a:off x="306880" y="119305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Mud pump</a:t>
          </a:r>
        </a:p>
      </dsp:txBody>
      <dsp:txXfrm>
        <a:off x="316967" y="1203140"/>
        <a:ext cx="4276148" cy="186466"/>
      </dsp:txXfrm>
    </dsp:sp>
    <dsp:sp modelId="{2B14A9F1-D273-4B0A-9B8C-4B56F8A4BA79}">
      <dsp:nvSpPr>
        <dsp:cNvPr id="0" name=""/>
        <dsp:cNvSpPr/>
      </dsp:nvSpPr>
      <dsp:spPr>
        <a:xfrm>
          <a:off x="0" y="161389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4B23C0D-8F0D-464F-94E3-F6ABCDB22E94}">
      <dsp:nvSpPr>
        <dsp:cNvPr id="0" name=""/>
        <dsp:cNvSpPr/>
      </dsp:nvSpPr>
      <dsp:spPr>
        <a:xfrm>
          <a:off x="306880" y="151057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Rotary Table</a:t>
          </a:r>
        </a:p>
      </dsp:txBody>
      <dsp:txXfrm>
        <a:off x="316967" y="1520660"/>
        <a:ext cx="4276148" cy="186466"/>
      </dsp:txXfrm>
    </dsp:sp>
    <dsp:sp modelId="{89292E05-CB65-4022-B1B3-DD7757E3AF8B}">
      <dsp:nvSpPr>
        <dsp:cNvPr id="0" name=""/>
        <dsp:cNvSpPr/>
      </dsp:nvSpPr>
      <dsp:spPr>
        <a:xfrm>
          <a:off x="0" y="193141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06210048-5C6D-49B8-AF9A-805F96AA32AC}">
      <dsp:nvSpPr>
        <dsp:cNvPr id="0" name=""/>
        <dsp:cNvSpPr/>
      </dsp:nvSpPr>
      <dsp:spPr>
        <a:xfrm>
          <a:off x="306880" y="182809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Crown Block</a:t>
          </a:r>
        </a:p>
      </dsp:txBody>
      <dsp:txXfrm>
        <a:off x="316967" y="1838180"/>
        <a:ext cx="4276148" cy="186466"/>
      </dsp:txXfrm>
    </dsp:sp>
    <dsp:sp modelId="{2976F909-FBC6-47EE-8FB5-7BAFD2C8F056}">
      <dsp:nvSpPr>
        <dsp:cNvPr id="0" name=""/>
        <dsp:cNvSpPr/>
      </dsp:nvSpPr>
      <dsp:spPr>
        <a:xfrm>
          <a:off x="0" y="224893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38BC286-FC3A-40DA-8762-AAFA54D4E9C3}">
      <dsp:nvSpPr>
        <dsp:cNvPr id="0" name=""/>
        <dsp:cNvSpPr/>
      </dsp:nvSpPr>
      <dsp:spPr>
        <a:xfrm>
          <a:off x="306880" y="214561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Travelling Block</a:t>
          </a:r>
        </a:p>
      </dsp:txBody>
      <dsp:txXfrm>
        <a:off x="316967" y="2155700"/>
        <a:ext cx="4276148" cy="186466"/>
      </dsp:txXfrm>
    </dsp:sp>
    <dsp:sp modelId="{357A4407-8634-427B-A483-9CF7C9953330}">
      <dsp:nvSpPr>
        <dsp:cNvPr id="0" name=""/>
        <dsp:cNvSpPr/>
      </dsp:nvSpPr>
      <dsp:spPr>
        <a:xfrm>
          <a:off x="0" y="2566453"/>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13CDC921-38EC-440F-A587-5572AE3533AC}">
      <dsp:nvSpPr>
        <dsp:cNvPr id="0" name=""/>
        <dsp:cNvSpPr/>
      </dsp:nvSpPr>
      <dsp:spPr>
        <a:xfrm>
          <a:off x="306880" y="246313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Deadline Anchor</a:t>
          </a:r>
        </a:p>
      </dsp:txBody>
      <dsp:txXfrm>
        <a:off x="316967" y="2473220"/>
        <a:ext cx="4276148" cy="186466"/>
      </dsp:txXfrm>
    </dsp:sp>
    <dsp:sp modelId="{4D825064-AF6E-47E6-A7E4-2F2B918556E3}">
      <dsp:nvSpPr>
        <dsp:cNvPr id="0" name=""/>
        <dsp:cNvSpPr/>
      </dsp:nvSpPr>
      <dsp:spPr>
        <a:xfrm>
          <a:off x="0" y="2883972"/>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A0E27C1-7C00-4083-8FDC-1BF3212CA24B}">
      <dsp:nvSpPr>
        <dsp:cNvPr id="0" name=""/>
        <dsp:cNvSpPr/>
      </dsp:nvSpPr>
      <dsp:spPr>
        <a:xfrm>
          <a:off x="306880" y="278065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Bop</a:t>
          </a:r>
        </a:p>
      </dsp:txBody>
      <dsp:txXfrm>
        <a:off x="316967" y="2790740"/>
        <a:ext cx="4276148" cy="186466"/>
      </dsp:txXfrm>
    </dsp:sp>
    <dsp:sp modelId="{6BDCD181-9F26-47B8-A317-BAEF7251DB6A}">
      <dsp:nvSpPr>
        <dsp:cNvPr id="0" name=""/>
        <dsp:cNvSpPr/>
      </dsp:nvSpPr>
      <dsp:spPr>
        <a:xfrm>
          <a:off x="0" y="3201492"/>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66557F1E-4A62-46BE-9E89-7109628EABD0}">
      <dsp:nvSpPr>
        <dsp:cNvPr id="0" name=""/>
        <dsp:cNvSpPr/>
      </dsp:nvSpPr>
      <dsp:spPr>
        <a:xfrm>
          <a:off x="306880" y="309817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Diverter</a:t>
          </a:r>
        </a:p>
      </dsp:txBody>
      <dsp:txXfrm>
        <a:off x="316967" y="3108260"/>
        <a:ext cx="4276148" cy="186466"/>
      </dsp:txXfrm>
    </dsp:sp>
    <dsp:sp modelId="{74FC883B-9CA2-4C99-92BA-F3A7779908CB}">
      <dsp:nvSpPr>
        <dsp:cNvPr id="0" name=""/>
        <dsp:cNvSpPr/>
      </dsp:nvSpPr>
      <dsp:spPr>
        <a:xfrm>
          <a:off x="0" y="3519012"/>
          <a:ext cx="6137603" cy="1764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D86BE5A-F76A-4B2E-A985-1379625EFDE2}">
      <dsp:nvSpPr>
        <dsp:cNvPr id="0" name=""/>
        <dsp:cNvSpPr/>
      </dsp:nvSpPr>
      <dsp:spPr>
        <a:xfrm>
          <a:off x="306880" y="3415693"/>
          <a:ext cx="4296322" cy="206640"/>
        </a:xfrm>
        <a:prstGeom prst="roundRect">
          <a:avLst/>
        </a:prstGeom>
        <a:solidFill>
          <a:schemeClr val="accent2">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62391" tIns="0" rIns="162391" bIns="0" numCol="1" spcCol="1270" anchor="ctr" anchorCtr="0">
          <a:noAutofit/>
        </a:bodyPr>
        <a:lstStyle/>
        <a:p>
          <a:pPr lvl="0" algn="ctr" defTabSz="533400">
            <a:lnSpc>
              <a:spcPct val="90000"/>
            </a:lnSpc>
            <a:spcBef>
              <a:spcPct val="0"/>
            </a:spcBef>
            <a:spcAft>
              <a:spcPct val="35000"/>
            </a:spcAft>
          </a:pPr>
          <a:r>
            <a:rPr lang="en-US" sz="1200" kern="1200"/>
            <a:t>Manifolds</a:t>
          </a:r>
        </a:p>
      </dsp:txBody>
      <dsp:txXfrm>
        <a:off x="316967" y="3425780"/>
        <a:ext cx="4276148" cy="186466"/>
      </dsp:txXfrm>
    </dsp:sp>
  </dsp:spTree>
</dsp:drawing>
</file>

<file path=xl/diagrams/layout1.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diagramData" Target="../diagrams/data1.xml"/><Relationship Id="rId7" Type="http://schemas.microsoft.com/office/2007/relationships/diagramDrawing" Target="../diagrams/drawing1.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diagramColors" Target="../diagrams/colors1.xml"/><Relationship Id="rId5" Type="http://schemas.openxmlformats.org/officeDocument/2006/relationships/diagramQuickStyle" Target="../diagrams/quickStyle1.xml"/><Relationship Id="rId4" Type="http://schemas.openxmlformats.org/officeDocument/2006/relationships/diagramLayout" Target="../diagrams/layout1.xml"/></Relationships>
</file>

<file path=xl/drawings/drawing1.xml><?xml version="1.0" encoding="utf-8"?>
<xdr:wsDr xmlns:xdr="http://schemas.openxmlformats.org/drawingml/2006/spreadsheetDrawing" xmlns:a="http://schemas.openxmlformats.org/drawingml/2006/main">
  <xdr:twoCellAnchor>
    <xdr:from>
      <xdr:col>5</xdr:col>
      <xdr:colOff>761999</xdr:colOff>
      <xdr:row>0</xdr:row>
      <xdr:rowOff>0</xdr:rowOff>
    </xdr:from>
    <xdr:to>
      <xdr:col>14</xdr:col>
      <xdr:colOff>333374</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20</xdr:row>
      <xdr:rowOff>47624</xdr:rowOff>
    </xdr:from>
    <xdr:to>
      <xdr:col>14</xdr:col>
      <xdr:colOff>314324</xdr:colOff>
      <xdr:row>36</xdr:row>
      <xdr:rowOff>76199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504825</xdr:colOff>
      <xdr:row>24</xdr:row>
      <xdr:rowOff>161925</xdr:rowOff>
    </xdr:from>
    <xdr:to>
      <xdr:col>2</xdr:col>
      <xdr:colOff>1419225</xdr:colOff>
      <xdr:row>32</xdr:row>
      <xdr:rowOff>95250</xdr:rowOff>
    </xdr:to>
    <xdr:sp macro="" textlink="$C$21">
      <xdr:nvSpPr>
        <xdr:cNvPr id="5" name="Rounded Rectangle 4"/>
        <xdr:cNvSpPr/>
      </xdr:nvSpPr>
      <xdr:spPr>
        <a:xfrm>
          <a:off x="1581150" y="4733925"/>
          <a:ext cx="2733675" cy="1457325"/>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A2736B0-8627-4580-AF6C-3E8742B85AA2}" type="TxLink">
            <a:rPr lang="en-US" sz="2800" b="0" i="0" u="none" strike="noStrike">
              <a:solidFill>
                <a:srgbClr val="000000"/>
              </a:solidFill>
              <a:latin typeface="Calibri"/>
              <a:ea typeface="Calibri"/>
              <a:cs typeface="Calibri"/>
            </a:rPr>
            <a:pPr algn="ctr"/>
            <a:t>USD 18.96 M</a:t>
          </a:fld>
          <a:endParaRPr lang="en-IN" sz="2800"/>
        </a:p>
      </xdr:txBody>
    </xdr:sp>
    <xdr:clientData/>
  </xdr:twoCellAnchor>
  <xdr:twoCellAnchor>
    <xdr:from>
      <xdr:col>3</xdr:col>
      <xdr:colOff>457200</xdr:colOff>
      <xdr:row>25</xdr:row>
      <xdr:rowOff>19050</xdr:rowOff>
    </xdr:from>
    <xdr:to>
      <xdr:col>4</xdr:col>
      <xdr:colOff>1552575</xdr:colOff>
      <xdr:row>28</xdr:row>
      <xdr:rowOff>85725</xdr:rowOff>
    </xdr:to>
    <xdr:sp macro="" textlink="">
      <xdr:nvSpPr>
        <xdr:cNvPr id="7" name="TextBox 6"/>
        <xdr:cNvSpPr txBox="1"/>
      </xdr:nvSpPr>
      <xdr:spPr>
        <a:xfrm>
          <a:off x="4933950" y="4781550"/>
          <a:ext cx="220980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Budgeted Cost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120101</xdr:colOff>
      <xdr:row>1</xdr:row>
      <xdr:rowOff>0</xdr:rowOff>
    </xdr:from>
    <xdr:to>
      <xdr:col>23</xdr:col>
      <xdr:colOff>514569</xdr:colOff>
      <xdr:row>45</xdr:row>
      <xdr:rowOff>65690</xdr:rowOff>
    </xdr:to>
    <xdr:sp macro="" textlink="">
      <xdr:nvSpPr>
        <xdr:cNvPr id="4" name="Rounded Rectangle 3"/>
        <xdr:cNvSpPr/>
      </xdr:nvSpPr>
      <xdr:spPr>
        <a:xfrm>
          <a:off x="120101" y="186121"/>
          <a:ext cx="14495847" cy="8255000"/>
        </a:xfrm>
        <a:prstGeom prst="roundRect">
          <a:avLst/>
        </a:prstGeom>
        <a:ln>
          <a:solidFill>
            <a:schemeClr val="tx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xdr:col>
      <xdr:colOff>142328</xdr:colOff>
      <xdr:row>25</xdr:row>
      <xdr:rowOff>32845</xdr:rowOff>
    </xdr:from>
    <xdr:to>
      <xdr:col>11</xdr:col>
      <xdr:colOff>65689</xdr:colOff>
      <xdr:row>42</xdr:row>
      <xdr:rowOff>43792</xdr:rowOff>
    </xdr:to>
    <xdr:sp macro="" textlink="">
      <xdr:nvSpPr>
        <xdr:cNvPr id="9" name="Rounded Rectangle 8"/>
        <xdr:cNvSpPr/>
      </xdr:nvSpPr>
      <xdr:spPr>
        <a:xfrm>
          <a:off x="755431" y="4685862"/>
          <a:ext cx="6054396" cy="3174999"/>
        </a:xfrm>
        <a:prstGeom prst="roundRect">
          <a:avLst/>
        </a:prstGeom>
        <a:solidFill>
          <a:schemeClr val="accent4">
            <a:lumMod val="40000"/>
            <a:lumOff val="6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459829</xdr:colOff>
      <xdr:row>25</xdr:row>
      <xdr:rowOff>76639</xdr:rowOff>
    </xdr:from>
    <xdr:to>
      <xdr:col>10</xdr:col>
      <xdr:colOff>492674</xdr:colOff>
      <xdr:row>42</xdr:row>
      <xdr:rowOff>98535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350345</xdr:colOff>
      <xdr:row>25</xdr:row>
      <xdr:rowOff>1</xdr:rowOff>
    </xdr:from>
    <xdr:to>
      <xdr:col>21</xdr:col>
      <xdr:colOff>602156</xdr:colOff>
      <xdr:row>42</xdr:row>
      <xdr:rowOff>65691</xdr:rowOff>
    </xdr:to>
    <xdr:sp macro="" textlink="">
      <xdr:nvSpPr>
        <xdr:cNvPr id="12" name="Rounded Rectangle 11"/>
        <xdr:cNvSpPr/>
      </xdr:nvSpPr>
      <xdr:spPr>
        <a:xfrm>
          <a:off x="7707586" y="4653018"/>
          <a:ext cx="5769742" cy="3229742"/>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273707</xdr:colOff>
      <xdr:row>24</xdr:row>
      <xdr:rowOff>175172</xdr:rowOff>
    </xdr:from>
    <xdr:to>
      <xdr:col>22</xdr:col>
      <xdr:colOff>98534</xdr:colOff>
      <xdr:row>41</xdr:row>
      <xdr:rowOff>142328</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98205</xdr:colOff>
      <xdr:row>14</xdr:row>
      <xdr:rowOff>32844</xdr:rowOff>
    </xdr:from>
    <xdr:to>
      <xdr:col>7</xdr:col>
      <xdr:colOff>547414</xdr:colOff>
      <xdr:row>23</xdr:row>
      <xdr:rowOff>12153</xdr:rowOff>
    </xdr:to>
    <xdr:sp macro="" textlink="Sheet1!$C$21">
      <xdr:nvSpPr>
        <xdr:cNvPr id="14" name="Rounded Rectangle 13"/>
        <xdr:cNvSpPr/>
      </xdr:nvSpPr>
      <xdr:spPr>
        <a:xfrm>
          <a:off x="1324412" y="2638534"/>
          <a:ext cx="3514726" cy="1654395"/>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12FC3B-7A21-42B5-9F73-13E58DEE283A}" type="TxLink">
            <a:rPr lang="en-US" sz="3200" b="1" i="0" u="none" strike="noStrike">
              <a:solidFill>
                <a:schemeClr val="accent2">
                  <a:lumMod val="75000"/>
                </a:schemeClr>
              </a:solidFill>
              <a:latin typeface="Arial Black" panose="020B0A04020102020204" pitchFamily="34" charset="0"/>
              <a:ea typeface="Calibri"/>
              <a:cs typeface="Calibri"/>
            </a:rPr>
            <a:pPr algn="ctr"/>
            <a:t>USD 18.96 M</a:t>
          </a:fld>
          <a:endParaRPr lang="en-IN" sz="6600" b="1">
            <a:solidFill>
              <a:schemeClr val="accent2">
                <a:lumMod val="75000"/>
              </a:schemeClr>
            </a:solidFill>
            <a:latin typeface="Arial Black" panose="020B0A04020102020204" pitchFamily="34" charset="0"/>
          </a:endParaRPr>
        </a:p>
      </xdr:txBody>
    </xdr:sp>
    <xdr:clientData/>
  </xdr:twoCellAnchor>
  <xdr:twoCellAnchor>
    <xdr:from>
      <xdr:col>9</xdr:col>
      <xdr:colOff>229584</xdr:colOff>
      <xdr:row>14</xdr:row>
      <xdr:rowOff>43793</xdr:rowOff>
    </xdr:from>
    <xdr:to>
      <xdr:col>15</xdr:col>
      <xdr:colOff>65689</xdr:colOff>
      <xdr:row>23</xdr:row>
      <xdr:rowOff>23102</xdr:rowOff>
    </xdr:to>
    <xdr:sp macro="" textlink="Sheet1!$D$21">
      <xdr:nvSpPr>
        <xdr:cNvPr id="18" name="Rounded Rectangle 17"/>
        <xdr:cNvSpPr/>
      </xdr:nvSpPr>
      <xdr:spPr>
        <a:xfrm>
          <a:off x="5747515" y="2649483"/>
          <a:ext cx="3514726" cy="1654395"/>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84EFF7A-6917-496C-BD0B-784984C3393C}" type="TxLink">
            <a:rPr lang="en-US" sz="3200" b="1" i="0" u="none" strike="noStrike">
              <a:solidFill>
                <a:schemeClr val="accent2">
                  <a:lumMod val="75000"/>
                </a:schemeClr>
              </a:solidFill>
              <a:latin typeface="Arial Black" panose="020B0A04020102020204" pitchFamily="34" charset="0"/>
              <a:ea typeface="Calibri"/>
              <a:cs typeface="Calibri"/>
            </a:rPr>
            <a:pPr marL="0" indent="0" algn="ctr"/>
            <a:t>USD 15.17 M</a:t>
          </a:fld>
          <a:endParaRPr lang="en-IN" sz="3200" b="1" i="0" u="none" strike="noStrike">
            <a:solidFill>
              <a:schemeClr val="accent2">
                <a:lumMod val="75000"/>
              </a:schemeClr>
            </a:solidFill>
            <a:latin typeface="Arial Black" panose="020B0A04020102020204" pitchFamily="34" charset="0"/>
            <a:ea typeface="Calibri"/>
            <a:cs typeface="Calibri"/>
          </a:endParaRPr>
        </a:p>
      </xdr:txBody>
    </xdr:sp>
    <xdr:clientData/>
  </xdr:twoCellAnchor>
  <xdr:twoCellAnchor>
    <xdr:from>
      <xdr:col>16</xdr:col>
      <xdr:colOff>207688</xdr:colOff>
      <xdr:row>14</xdr:row>
      <xdr:rowOff>65689</xdr:rowOff>
    </xdr:from>
    <xdr:to>
      <xdr:col>22</xdr:col>
      <xdr:colOff>43793</xdr:colOff>
      <xdr:row>23</xdr:row>
      <xdr:rowOff>44998</xdr:rowOff>
    </xdr:to>
    <xdr:sp macro="" textlink="Sheet1!$E$21">
      <xdr:nvSpPr>
        <xdr:cNvPr id="19" name="Rounded Rectangle 18"/>
        <xdr:cNvSpPr/>
      </xdr:nvSpPr>
      <xdr:spPr>
        <a:xfrm>
          <a:off x="10017343" y="2671379"/>
          <a:ext cx="3514726" cy="165439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B27A6F6-7E2C-4D3D-9DAA-811AE48DB1C7}" type="TxLink">
            <a:rPr lang="en-US" sz="3200" b="1" i="0" u="none" strike="noStrike">
              <a:solidFill>
                <a:schemeClr val="accent2">
                  <a:lumMod val="75000"/>
                </a:schemeClr>
              </a:solidFill>
              <a:latin typeface="Arial Black" panose="020B0A04020102020204" pitchFamily="34" charset="0"/>
              <a:ea typeface="Calibri"/>
              <a:cs typeface="Calibri"/>
            </a:rPr>
            <a:pPr marL="0" indent="0" algn="ctr"/>
            <a:t>USD 3.79 M</a:t>
          </a:fld>
          <a:endParaRPr lang="en-IN" sz="3200" b="1" i="0" u="none" strike="noStrike">
            <a:solidFill>
              <a:schemeClr val="accent2">
                <a:lumMod val="75000"/>
              </a:schemeClr>
            </a:solidFill>
            <a:latin typeface="Arial Black" panose="020B0A04020102020204" pitchFamily="34" charset="0"/>
            <a:ea typeface="Calibri"/>
            <a:cs typeface="Calibri"/>
          </a:endParaRPr>
        </a:p>
      </xdr:txBody>
    </xdr:sp>
    <xdr:clientData/>
  </xdr:twoCellAnchor>
  <xdr:twoCellAnchor>
    <xdr:from>
      <xdr:col>3</xdr:col>
      <xdr:colOff>65690</xdr:colOff>
      <xdr:row>14</xdr:row>
      <xdr:rowOff>76638</xdr:rowOff>
    </xdr:from>
    <xdr:to>
      <xdr:col>7</xdr:col>
      <xdr:colOff>262759</xdr:colOff>
      <xdr:row>17</xdr:row>
      <xdr:rowOff>0</xdr:rowOff>
    </xdr:to>
    <xdr:sp macro="" textlink="">
      <xdr:nvSpPr>
        <xdr:cNvPr id="20" name="TextBox 19"/>
        <xdr:cNvSpPr txBox="1"/>
      </xdr:nvSpPr>
      <xdr:spPr>
        <a:xfrm>
          <a:off x="1905000" y="2682328"/>
          <a:ext cx="2649483" cy="481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cap="none" spc="0">
              <a:ln w="12700">
                <a:solidFill>
                  <a:schemeClr val="tx2">
                    <a:lumMod val="75000"/>
                  </a:schemeClr>
                </a:solidFill>
                <a:prstDash val="solid"/>
              </a:ln>
              <a:solidFill>
                <a:schemeClr val="accent2">
                  <a:lumMod val="60000"/>
                  <a:lumOff val="40000"/>
                </a:schemeClr>
              </a:solidFill>
              <a:effectLst>
                <a:outerShdw dist="38100" dir="2640000" algn="bl" rotWithShape="0">
                  <a:schemeClr val="tx2">
                    <a:lumMod val="75000"/>
                  </a:schemeClr>
                </a:outerShdw>
              </a:effectLst>
            </a:rPr>
            <a:t>Budgeted Cost</a:t>
          </a:r>
        </a:p>
      </xdr:txBody>
    </xdr:sp>
    <xdr:clientData/>
  </xdr:twoCellAnchor>
  <xdr:twoCellAnchor>
    <xdr:from>
      <xdr:col>9</xdr:col>
      <xdr:colOff>525518</xdr:colOff>
      <xdr:row>14</xdr:row>
      <xdr:rowOff>164223</xdr:rowOff>
    </xdr:from>
    <xdr:to>
      <xdr:col>14</xdr:col>
      <xdr:colOff>339398</xdr:colOff>
      <xdr:row>17</xdr:row>
      <xdr:rowOff>43792</xdr:rowOff>
    </xdr:to>
    <xdr:sp macro="" textlink="">
      <xdr:nvSpPr>
        <xdr:cNvPr id="21" name="TextBox 20"/>
        <xdr:cNvSpPr txBox="1"/>
      </xdr:nvSpPr>
      <xdr:spPr>
        <a:xfrm>
          <a:off x="6043449" y="2769913"/>
          <a:ext cx="2879397" cy="43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800" b="1" cap="none" spc="0">
              <a:ln w="6600">
                <a:solidFill>
                  <a:schemeClr val="accent2"/>
                </a:solidFill>
                <a:prstDash val="solid"/>
              </a:ln>
              <a:solidFill>
                <a:schemeClr val="accent3">
                  <a:lumMod val="40000"/>
                  <a:lumOff val="60000"/>
                </a:schemeClr>
              </a:solidFill>
              <a:effectLst>
                <a:outerShdw dist="38100" dir="2700000" algn="tl" rotWithShape="0">
                  <a:schemeClr val="accent2"/>
                </a:outerShdw>
              </a:effectLst>
            </a:rPr>
            <a:t>Actual Cost</a:t>
          </a:r>
        </a:p>
      </xdr:txBody>
    </xdr:sp>
    <xdr:clientData/>
  </xdr:twoCellAnchor>
  <xdr:twoCellAnchor>
    <xdr:from>
      <xdr:col>17</xdr:col>
      <xdr:colOff>142327</xdr:colOff>
      <xdr:row>14</xdr:row>
      <xdr:rowOff>98535</xdr:rowOff>
    </xdr:from>
    <xdr:to>
      <xdr:col>21</xdr:col>
      <xdr:colOff>339397</xdr:colOff>
      <xdr:row>17</xdr:row>
      <xdr:rowOff>10948</xdr:rowOff>
    </xdr:to>
    <xdr:sp macro="" textlink="">
      <xdr:nvSpPr>
        <xdr:cNvPr id="23" name="TextBox 22"/>
        <xdr:cNvSpPr txBox="1"/>
      </xdr:nvSpPr>
      <xdr:spPr>
        <a:xfrm>
          <a:off x="10565086" y="2704225"/>
          <a:ext cx="2649483" cy="470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cap="none" spc="0">
              <a:ln w="12700">
                <a:solidFill>
                  <a:schemeClr val="accent3">
                    <a:lumMod val="50000"/>
                  </a:schemeClr>
                </a:solidFill>
                <a:prstDash val="solid"/>
              </a:ln>
              <a:solidFill>
                <a:schemeClr val="accent5">
                  <a:lumMod val="75000"/>
                </a:schemeClr>
              </a:solidFill>
              <a:effectLst>
                <a:innerShdw blurRad="177800">
                  <a:schemeClr val="accent3">
                    <a:lumMod val="50000"/>
                  </a:schemeClr>
                </a:innerShdw>
              </a:effectLst>
            </a:rPr>
            <a:t>Remaining</a:t>
          </a:r>
          <a:r>
            <a:rPr lang="en-IN" sz="2800" b="1" cap="none" spc="0" baseline="0">
              <a:ln w="12700">
                <a:solidFill>
                  <a:schemeClr val="accent3">
                    <a:lumMod val="50000"/>
                  </a:schemeClr>
                </a:solidFill>
                <a:prstDash val="solid"/>
              </a:ln>
              <a:solidFill>
                <a:schemeClr val="accent5">
                  <a:lumMod val="75000"/>
                </a:schemeClr>
              </a:solidFill>
              <a:effectLst>
                <a:innerShdw blurRad="177800">
                  <a:schemeClr val="accent3">
                    <a:lumMod val="50000"/>
                  </a:schemeClr>
                </a:innerShdw>
              </a:effectLst>
            </a:rPr>
            <a:t> Cost</a:t>
          </a:r>
          <a:endParaRPr lang="en-IN" sz="2800" b="1" cap="none" spc="0">
            <a:ln w="12700">
              <a:solidFill>
                <a:schemeClr val="accent3">
                  <a:lumMod val="50000"/>
                </a:schemeClr>
              </a:solidFill>
              <a:prstDash val="solid"/>
            </a:ln>
            <a:solidFill>
              <a:schemeClr val="accent5">
                <a:lumMod val="75000"/>
              </a:schemeClr>
            </a:solidFill>
            <a:effectLst>
              <a:innerShdw blurRad="177800">
                <a:schemeClr val="accent3">
                  <a:lumMod val="50000"/>
                </a:schemeClr>
              </a:innerShdw>
            </a:effectLst>
          </a:endParaRPr>
        </a:p>
      </xdr:txBody>
    </xdr:sp>
    <xdr:clientData/>
  </xdr:twoCellAnchor>
  <xdr:twoCellAnchor>
    <xdr:from>
      <xdr:col>25</xdr:col>
      <xdr:colOff>43793</xdr:colOff>
      <xdr:row>2</xdr:row>
      <xdr:rowOff>109484</xdr:rowOff>
    </xdr:from>
    <xdr:to>
      <xdr:col>31</xdr:col>
      <xdr:colOff>284655</xdr:colOff>
      <xdr:row>11</xdr:row>
      <xdr:rowOff>175173</xdr:rowOff>
    </xdr:to>
    <xdr:sp macro="" textlink="Sheet1!D52">
      <xdr:nvSpPr>
        <xdr:cNvPr id="2" name="Rounded Rectangle 1"/>
        <xdr:cNvSpPr/>
      </xdr:nvSpPr>
      <xdr:spPr>
        <a:xfrm>
          <a:off x="15371379" y="481725"/>
          <a:ext cx="3919483" cy="1740776"/>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D46DB5D-2260-4353-8139-97B2F2218BDA}" type="TxLink">
            <a:rPr lang="en-US" sz="3200" b="1" i="0" u="none" strike="noStrike">
              <a:solidFill>
                <a:schemeClr val="accent2">
                  <a:lumMod val="75000"/>
                </a:schemeClr>
              </a:solidFill>
              <a:latin typeface="Arial Black" panose="020B0A04020102020204" pitchFamily="34" charset="0"/>
              <a:ea typeface="Calibri"/>
              <a:cs typeface="Calibri"/>
            </a:rPr>
            <a:pPr marL="0" indent="0" algn="ctr"/>
            <a:t>USD 5.58 M</a:t>
          </a:fld>
          <a:endParaRPr lang="en-IN" sz="3200" b="1" i="0" u="none" strike="noStrike">
            <a:solidFill>
              <a:schemeClr val="accent2">
                <a:lumMod val="75000"/>
              </a:schemeClr>
            </a:solidFill>
            <a:latin typeface="Arial Black" panose="020B0A04020102020204" pitchFamily="34" charset="0"/>
            <a:ea typeface="Calibri"/>
            <a:cs typeface="Calibri"/>
          </a:endParaRPr>
        </a:p>
      </xdr:txBody>
    </xdr:sp>
    <xdr:clientData/>
  </xdr:twoCellAnchor>
  <xdr:twoCellAnchor>
    <xdr:from>
      <xdr:col>25</xdr:col>
      <xdr:colOff>273708</xdr:colOff>
      <xdr:row>3</xdr:row>
      <xdr:rowOff>120431</xdr:rowOff>
    </xdr:from>
    <xdr:to>
      <xdr:col>31</xdr:col>
      <xdr:colOff>120432</xdr:colOff>
      <xdr:row>5</xdr:row>
      <xdr:rowOff>164224</xdr:rowOff>
    </xdr:to>
    <xdr:sp macro="" textlink="">
      <xdr:nvSpPr>
        <xdr:cNvPr id="3" name="TextBox 2"/>
        <xdr:cNvSpPr txBox="1"/>
      </xdr:nvSpPr>
      <xdr:spPr>
        <a:xfrm>
          <a:off x="15601294" y="678793"/>
          <a:ext cx="3525345" cy="41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Major</a:t>
          </a:r>
          <a:r>
            <a:rPr lang="en-IN" sz="20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t>
          </a:r>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Drilling</a:t>
          </a:r>
          <a:r>
            <a:rPr lang="en-IN" sz="20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Equipment Cost</a:t>
          </a:r>
          <a:endPar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27</xdr:col>
      <xdr:colOff>416034</xdr:colOff>
      <xdr:row>12</xdr:row>
      <xdr:rowOff>65689</xdr:rowOff>
    </xdr:from>
    <xdr:to>
      <xdr:col>28</xdr:col>
      <xdr:colOff>383188</xdr:colOff>
      <xdr:row>20</xdr:row>
      <xdr:rowOff>142327</xdr:rowOff>
    </xdr:to>
    <xdr:sp macro="" textlink="">
      <xdr:nvSpPr>
        <xdr:cNvPr id="5" name="Down Arrow 4"/>
        <xdr:cNvSpPr/>
      </xdr:nvSpPr>
      <xdr:spPr>
        <a:xfrm>
          <a:off x="16969827" y="2299137"/>
          <a:ext cx="580258" cy="1565604"/>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100725</xdr:colOff>
      <xdr:row>21</xdr:row>
      <xdr:rowOff>62623</xdr:rowOff>
    </xdr:from>
    <xdr:to>
      <xdr:col>34</xdr:col>
      <xdr:colOff>142328</xdr:colOff>
      <xdr:row>42</xdr:row>
      <xdr:rowOff>131379</xdr:rowOff>
    </xdr:to>
    <xdr:graphicFrame macro="">
      <xdr:nvGraphicFramePr>
        <xdr:cNvPr id="6" name="Diagram 5"/>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xdr:from>
      <xdr:col>3</xdr:col>
      <xdr:colOff>569311</xdr:colOff>
      <xdr:row>3</xdr:row>
      <xdr:rowOff>175173</xdr:rowOff>
    </xdr:from>
    <xdr:to>
      <xdr:col>20</xdr:col>
      <xdr:colOff>76638</xdr:colOff>
      <xdr:row>10</xdr:row>
      <xdr:rowOff>43793</xdr:rowOff>
    </xdr:to>
    <xdr:sp macro="" textlink="">
      <xdr:nvSpPr>
        <xdr:cNvPr id="8" name="Rounded Rectangle 7"/>
        <xdr:cNvSpPr/>
      </xdr:nvSpPr>
      <xdr:spPr>
        <a:xfrm>
          <a:off x="2408621" y="733535"/>
          <a:ext cx="9930086" cy="1171465"/>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186120</xdr:colOff>
      <xdr:row>4</xdr:row>
      <xdr:rowOff>164224</xdr:rowOff>
    </xdr:from>
    <xdr:to>
      <xdr:col>21</xdr:col>
      <xdr:colOff>394138</xdr:colOff>
      <xdr:row>9</xdr:row>
      <xdr:rowOff>65690</xdr:rowOff>
    </xdr:to>
    <xdr:sp macro="" textlink="">
      <xdr:nvSpPr>
        <xdr:cNvPr id="15" name="TextBox 14"/>
        <xdr:cNvSpPr txBox="1"/>
      </xdr:nvSpPr>
      <xdr:spPr>
        <a:xfrm>
          <a:off x="2638534" y="908707"/>
          <a:ext cx="10630776" cy="832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4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n-lt"/>
              <a:ea typeface="+mn-ea"/>
              <a:cs typeface="+mn-cs"/>
            </a:rPr>
            <a:t>Jindal Pioneer Project Budget Dashboard</a:t>
          </a:r>
          <a:endParaRPr lang="en-IN" sz="4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a:p>
          <a:endParaRPr lang="en-IN" sz="20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tan%20Chakraborty/AppData/Local/Microsoft/Windows/INetCache/Content.Outlook/36QLU39I/Supreme%20Dry-dock%20Budget-Revised_10.01.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Sheet1"/>
      <sheetName val="Activity"/>
      <sheetName val="Summary "/>
      <sheetName val="Annexure I"/>
      <sheetName val="Annexure II "/>
      <sheetName val="Annexure III"/>
      <sheetName val="Annexure IV "/>
      <sheetName val="Annexure V"/>
      <sheetName val="An VI - Drill"/>
      <sheetName val="Sheet5"/>
      <sheetName val="An VII - Mech"/>
      <sheetName val="An VIII -Elec"/>
      <sheetName val="An IX - Marine"/>
      <sheetName val="An X - Adnl Items"/>
      <sheetName val="An XI - Capex"/>
      <sheetName val="Sheet4"/>
    </sheetNames>
    <sheetDataSet>
      <sheetData sheetId="0" refreshError="1"/>
      <sheetData sheetId="1" refreshError="1"/>
      <sheetData sheetId="2" refreshError="1"/>
      <sheetData sheetId="3" refreshError="1"/>
      <sheetData sheetId="4" refreshError="1"/>
      <sheetData sheetId="5" refreshError="1">
        <row r="2">
          <cell r="C2" t="str">
            <v>TOWAGE EXPENSES</v>
          </cell>
          <cell r="G2" t="str">
            <v>Annexure I</v>
          </cell>
        </row>
      </sheetData>
      <sheetData sheetId="6" refreshError="1">
        <row r="2">
          <cell r="B2" t="str">
            <v xml:space="preserve"> CLASS SURVEY/MODU UPGRADTION &amp; RELATED EXPENSES</v>
          </cell>
          <cell r="G2" t="str">
            <v>Annexure II</v>
          </cell>
        </row>
      </sheetData>
      <sheetData sheetId="7" refreshError="1"/>
      <sheetData sheetId="8" refreshError="1">
        <row r="2">
          <cell r="G2" t="str">
            <v>Annexure IV</v>
          </cell>
        </row>
        <row r="6">
          <cell r="A6" t="str">
            <v>D</v>
          </cell>
        </row>
      </sheetData>
      <sheetData sheetId="9" refreshError="1">
        <row r="2">
          <cell r="G2" t="str">
            <v>Annexure V</v>
          </cell>
        </row>
        <row r="6">
          <cell r="B6" t="str">
            <v>Crew Expenses</v>
          </cell>
        </row>
      </sheetData>
      <sheetData sheetId="10" refreshError="1">
        <row r="2">
          <cell r="E2" t="str">
            <v>Drilling, Well Control and Solid Control</v>
          </cell>
          <cell r="K2" t="str">
            <v>Annexure VI</v>
          </cell>
        </row>
      </sheetData>
      <sheetData sheetId="11" refreshError="1"/>
      <sheetData sheetId="12" refreshError="1">
        <row r="2">
          <cell r="G2" t="str">
            <v>MECHANICAL</v>
          </cell>
          <cell r="K2" t="str">
            <v>Annexure VII</v>
          </cell>
        </row>
      </sheetData>
      <sheetData sheetId="13" refreshError="1">
        <row r="2">
          <cell r="F2" t="str">
            <v>ELECTRICAL and Power Plant</v>
          </cell>
          <cell r="K2" t="str">
            <v>Annexure VIII</v>
          </cell>
        </row>
      </sheetData>
      <sheetData sheetId="14" refreshError="1">
        <row r="2">
          <cell r="E2" t="str">
            <v>Lifting gear, Marine and Safety</v>
          </cell>
          <cell r="K2" t="str">
            <v>Annexure IX</v>
          </cell>
        </row>
      </sheetData>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workbookViewId="0">
      <selection activeCell="A2" sqref="A2:A12"/>
    </sheetView>
  </sheetViews>
  <sheetFormatPr defaultRowHeight="14.5" x14ac:dyDescent="0.35"/>
  <cols>
    <col min="1" max="1" width="16.1796875" customWidth="1"/>
    <col min="2" max="2" width="27.26953125" style="421" customWidth="1"/>
    <col min="3" max="3" width="23.7265625" customWidth="1"/>
    <col min="4" max="4" width="16.7265625" customWidth="1"/>
    <col min="5" max="5" width="24.453125" customWidth="1"/>
    <col min="6" max="6" width="20" customWidth="1"/>
  </cols>
  <sheetData>
    <row r="1" spans="1:6" x14ac:dyDescent="0.35">
      <c r="A1" s="589" t="s">
        <v>773</v>
      </c>
      <c r="B1" s="590" t="s">
        <v>782</v>
      </c>
      <c r="C1" s="590" t="s">
        <v>723</v>
      </c>
      <c r="D1" s="421" t="s">
        <v>786</v>
      </c>
    </row>
    <row r="2" spans="1:6" x14ac:dyDescent="0.35">
      <c r="A2" t="s">
        <v>771</v>
      </c>
      <c r="B2" s="591">
        <f>Summary!C9</f>
        <v>179850</v>
      </c>
      <c r="C2" s="591">
        <f>Summary!E9</f>
        <v>0</v>
      </c>
      <c r="D2" s="591">
        <f t="shared" ref="D2:D12" si="0">B2-C2</f>
        <v>179850</v>
      </c>
      <c r="F2" s="421"/>
    </row>
    <row r="3" spans="1:6" x14ac:dyDescent="0.35">
      <c r="A3" t="s">
        <v>772</v>
      </c>
      <c r="B3" s="591">
        <f>Summary!C12</f>
        <v>36193</v>
      </c>
      <c r="C3" s="591">
        <f>Summary!E12</f>
        <v>20621.784274999998</v>
      </c>
      <c r="D3" s="591">
        <f t="shared" si="0"/>
        <v>15571.215725000002</v>
      </c>
    </row>
    <row r="4" spans="1:6" x14ac:dyDescent="0.35">
      <c r="A4" t="s">
        <v>26</v>
      </c>
      <c r="B4" s="591">
        <f>Summary!C15</f>
        <v>936075</v>
      </c>
      <c r="C4" s="591">
        <f>Summary!E15</f>
        <v>886356.69</v>
      </c>
      <c r="D4" s="591">
        <f t="shared" si="0"/>
        <v>49718.310000000056</v>
      </c>
    </row>
    <row r="5" spans="1:6" x14ac:dyDescent="0.35">
      <c r="A5" t="s">
        <v>774</v>
      </c>
      <c r="B5" s="591">
        <f>Summary!C18</f>
        <v>275000</v>
      </c>
      <c r="C5" s="591">
        <f>Summary!E18</f>
        <v>127321</v>
      </c>
      <c r="D5" s="591">
        <f t="shared" si="0"/>
        <v>147679</v>
      </c>
    </row>
    <row r="6" spans="1:6" x14ac:dyDescent="0.35">
      <c r="A6" t="s">
        <v>775</v>
      </c>
      <c r="B6" s="591">
        <f>Summary!C21</f>
        <v>917500</v>
      </c>
      <c r="C6" s="591">
        <f>Summary!E21</f>
        <v>692348</v>
      </c>
      <c r="D6" s="591">
        <f t="shared" si="0"/>
        <v>225152</v>
      </c>
    </row>
    <row r="7" spans="1:6" x14ac:dyDescent="0.35">
      <c r="A7" t="s">
        <v>776</v>
      </c>
      <c r="B7" s="591">
        <f>Summary!C24</f>
        <v>6475383.5600000005</v>
      </c>
      <c r="C7" s="591">
        <f>Summary!E24</f>
        <v>6527134.031969999</v>
      </c>
      <c r="D7" s="591">
        <f t="shared" si="0"/>
        <v>-51750.471969998442</v>
      </c>
    </row>
    <row r="8" spans="1:6" x14ac:dyDescent="0.35">
      <c r="A8" t="s">
        <v>777</v>
      </c>
      <c r="B8" s="591">
        <f>Summary!C27</f>
        <v>1760997</v>
      </c>
      <c r="C8" s="591">
        <f>Summary!E27</f>
        <v>1534282.4024799999</v>
      </c>
      <c r="D8" s="591">
        <f t="shared" si="0"/>
        <v>226714.59752000007</v>
      </c>
    </row>
    <row r="9" spans="1:6" x14ac:dyDescent="0.35">
      <c r="A9" t="s">
        <v>778</v>
      </c>
      <c r="B9" s="591">
        <f>Summary!C30</f>
        <v>1320000</v>
      </c>
      <c r="C9" s="591">
        <f>Summary!E30</f>
        <v>712385.22364000021</v>
      </c>
      <c r="D9" s="591">
        <f t="shared" si="0"/>
        <v>607614.77635999979</v>
      </c>
    </row>
    <row r="10" spans="1:6" x14ac:dyDescent="0.35">
      <c r="A10" t="s">
        <v>779</v>
      </c>
      <c r="B10" s="591">
        <f>Summary!C33</f>
        <v>1856500</v>
      </c>
      <c r="C10" s="591">
        <f>Summary!E33</f>
        <v>1107431.4560949001</v>
      </c>
      <c r="D10" s="591">
        <f t="shared" si="0"/>
        <v>749068.54390509985</v>
      </c>
    </row>
    <row r="11" spans="1:6" x14ac:dyDescent="0.35">
      <c r="A11" t="s">
        <v>780</v>
      </c>
      <c r="B11" s="591">
        <f>Summary!C35</f>
        <v>4946840</v>
      </c>
      <c r="C11" s="591">
        <f>Summary!E35</f>
        <v>3498986.6248565</v>
      </c>
      <c r="D11" s="591">
        <f t="shared" si="0"/>
        <v>1447853.3751435</v>
      </c>
    </row>
    <row r="12" spans="1:6" x14ac:dyDescent="0.35">
      <c r="A12" t="s">
        <v>781</v>
      </c>
      <c r="B12" s="591">
        <f>Summary!C37</f>
        <v>257150</v>
      </c>
      <c r="C12" s="591">
        <f>Summary!E37</f>
        <v>64492.822100000005</v>
      </c>
      <c r="D12" s="591">
        <f t="shared" si="0"/>
        <v>192657.17790000001</v>
      </c>
    </row>
    <row r="13" spans="1:6" x14ac:dyDescent="0.35">
      <c r="A13" t="s">
        <v>783</v>
      </c>
      <c r="C13" s="421"/>
      <c r="D13" s="421"/>
    </row>
    <row r="20" spans="3:5" x14ac:dyDescent="0.35">
      <c r="C20" t="s">
        <v>784</v>
      </c>
      <c r="D20" t="s">
        <v>785</v>
      </c>
      <c r="E20" t="s">
        <v>786</v>
      </c>
    </row>
    <row r="21" spans="3:5" x14ac:dyDescent="0.35">
      <c r="C21" s="591">
        <f>SUM(B2:B12)</f>
        <v>18961488.560000002</v>
      </c>
      <c r="D21" s="591">
        <f>SUM(C2:C12)</f>
        <v>15171360.0354164</v>
      </c>
      <c r="E21" s="591">
        <f>C21-D21</f>
        <v>3790128.5245836023</v>
      </c>
    </row>
    <row r="40" spans="3:4" x14ac:dyDescent="0.35">
      <c r="C40" t="s">
        <v>796</v>
      </c>
      <c r="D40" t="s">
        <v>797</v>
      </c>
    </row>
    <row r="41" spans="3:4" x14ac:dyDescent="0.35">
      <c r="C41" t="s">
        <v>538</v>
      </c>
      <c r="D41" s="591">
        <f>'Ann VI-Drill'!N7</f>
        <v>687875.43</v>
      </c>
    </row>
    <row r="42" spans="3:4" x14ac:dyDescent="0.35">
      <c r="C42" t="s">
        <v>787</v>
      </c>
      <c r="D42" s="591">
        <f>'Ann VI-Drill'!N16</f>
        <v>738836.46</v>
      </c>
    </row>
    <row r="43" spans="3:4" x14ac:dyDescent="0.35">
      <c r="C43" t="s">
        <v>788</v>
      </c>
      <c r="D43" s="591">
        <f>SUM('Ann VI-Drill'!N11:N12)</f>
        <v>999624</v>
      </c>
    </row>
    <row r="44" spans="3:4" x14ac:dyDescent="0.35">
      <c r="C44" t="s">
        <v>798</v>
      </c>
      <c r="D44" s="591">
        <f>'Ann VI-Drill'!N15</f>
        <v>607787</v>
      </c>
    </row>
    <row r="45" spans="3:4" x14ac:dyDescent="0.35">
      <c r="C45" t="s">
        <v>789</v>
      </c>
      <c r="D45" s="591">
        <f>'Ann VI-Drill'!N5</f>
        <v>97058.98</v>
      </c>
    </row>
    <row r="46" spans="3:4" x14ac:dyDescent="0.35">
      <c r="C46" t="s">
        <v>790</v>
      </c>
      <c r="D46" s="591">
        <f>'Ann VI-Drill'!N9</f>
        <v>143156</v>
      </c>
    </row>
    <row r="47" spans="3:4" x14ac:dyDescent="0.35">
      <c r="C47" t="s">
        <v>791</v>
      </c>
      <c r="D47" s="591">
        <f>'Ann VI-Drill'!N14</f>
        <v>127166.3</v>
      </c>
    </row>
    <row r="48" spans="3:4" x14ac:dyDescent="0.35">
      <c r="C48" t="s">
        <v>792</v>
      </c>
      <c r="D48" s="591">
        <f>'Ann VI-Drill'!N10</f>
        <v>11282</v>
      </c>
    </row>
    <row r="49" spans="3:4" x14ac:dyDescent="0.35">
      <c r="C49" t="s">
        <v>793</v>
      </c>
      <c r="D49" s="591">
        <f>SUM('Ann VI-Drill'!N18:N19)</f>
        <v>1363788</v>
      </c>
    </row>
    <row r="50" spans="3:4" x14ac:dyDescent="0.35">
      <c r="C50" t="s">
        <v>794</v>
      </c>
      <c r="D50" s="591">
        <f>'Ann VI-Drill'!N17</f>
        <v>415300.7</v>
      </c>
    </row>
    <row r="51" spans="3:4" x14ac:dyDescent="0.35">
      <c r="C51" t="s">
        <v>795</v>
      </c>
      <c r="D51" s="591">
        <f>'Ann VI-Drill'!N30</f>
        <v>387579.24400000001</v>
      </c>
    </row>
    <row r="52" spans="3:4" x14ac:dyDescent="0.35">
      <c r="D52" s="591">
        <f>SUM(D41:D51)</f>
        <v>5579454.1140000001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8" zoomScaleNormal="58" workbookViewId="0">
      <selection activeCell="AA18" sqref="AA18"/>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showGridLines="0" zoomScale="75" zoomScaleNormal="75" workbookViewId="0">
      <selection activeCell="B16" sqref="B16"/>
    </sheetView>
  </sheetViews>
  <sheetFormatPr defaultColWidth="9.1796875" defaultRowHeight="14.5" x14ac:dyDescent="0.35"/>
  <cols>
    <col min="1" max="1" width="12.81640625" style="138" customWidth="1"/>
    <col min="2" max="2" width="59.7265625" style="138" customWidth="1"/>
    <col min="3" max="3" width="27.81640625" style="138" customWidth="1"/>
    <col min="4" max="4" width="35.81640625" style="138" customWidth="1"/>
    <col min="5" max="6" width="35.81640625" style="552" customWidth="1"/>
    <col min="7" max="7" width="14.26953125" style="138" customWidth="1"/>
    <col min="8" max="8" width="26.1796875" style="140" customWidth="1"/>
    <col min="9" max="257" width="9.1796875" style="138"/>
    <col min="258" max="258" width="12.81640625" style="138" customWidth="1"/>
    <col min="259" max="259" width="30.81640625" style="138" customWidth="1"/>
    <col min="260" max="260" width="18.81640625" style="138" customWidth="1"/>
    <col min="261" max="261" width="27" style="138" customWidth="1"/>
    <col min="262" max="262" width="10.1796875" style="138" customWidth="1"/>
    <col min="263" max="263" width="18.81640625" style="138" customWidth="1"/>
    <col min="264" max="264" width="19.1796875" style="138" bestFit="1" customWidth="1"/>
    <col min="265" max="513" width="9.1796875" style="138"/>
    <col min="514" max="514" width="12.81640625" style="138" customWidth="1"/>
    <col min="515" max="515" width="30.81640625" style="138" customWidth="1"/>
    <col min="516" max="516" width="18.81640625" style="138" customWidth="1"/>
    <col min="517" max="517" width="27" style="138" customWidth="1"/>
    <col min="518" max="518" width="10.1796875" style="138" customWidth="1"/>
    <col min="519" max="519" width="18.81640625" style="138" customWidth="1"/>
    <col min="520" max="520" width="19.1796875" style="138" bestFit="1" customWidth="1"/>
    <col min="521" max="769" width="9.1796875" style="138"/>
    <col min="770" max="770" width="12.81640625" style="138" customWidth="1"/>
    <col min="771" max="771" width="30.81640625" style="138" customWidth="1"/>
    <col min="772" max="772" width="18.81640625" style="138" customWidth="1"/>
    <col min="773" max="773" width="27" style="138" customWidth="1"/>
    <col min="774" max="774" width="10.1796875" style="138" customWidth="1"/>
    <col min="775" max="775" width="18.81640625" style="138" customWidth="1"/>
    <col min="776" max="776" width="19.1796875" style="138" bestFit="1" customWidth="1"/>
    <col min="777" max="1025" width="9.1796875" style="138"/>
    <col min="1026" max="1026" width="12.81640625" style="138" customWidth="1"/>
    <col min="1027" max="1027" width="30.81640625" style="138" customWidth="1"/>
    <col min="1028" max="1028" width="18.81640625" style="138" customWidth="1"/>
    <col min="1029" max="1029" width="27" style="138" customWidth="1"/>
    <col min="1030" max="1030" width="10.1796875" style="138" customWidth="1"/>
    <col min="1031" max="1031" width="18.81640625" style="138" customWidth="1"/>
    <col min="1032" max="1032" width="19.1796875" style="138" bestFit="1" customWidth="1"/>
    <col min="1033" max="1281" width="9.1796875" style="138"/>
    <col min="1282" max="1282" width="12.81640625" style="138" customWidth="1"/>
    <col min="1283" max="1283" width="30.81640625" style="138" customWidth="1"/>
    <col min="1284" max="1284" width="18.81640625" style="138" customWidth="1"/>
    <col min="1285" max="1285" width="27" style="138" customWidth="1"/>
    <col min="1286" max="1286" width="10.1796875" style="138" customWidth="1"/>
    <col min="1287" max="1287" width="18.81640625" style="138" customWidth="1"/>
    <col min="1288" max="1288" width="19.1796875" style="138" bestFit="1" customWidth="1"/>
    <col min="1289" max="1537" width="9.1796875" style="138"/>
    <col min="1538" max="1538" width="12.81640625" style="138" customWidth="1"/>
    <col min="1539" max="1539" width="30.81640625" style="138" customWidth="1"/>
    <col min="1540" max="1540" width="18.81640625" style="138" customWidth="1"/>
    <col min="1541" max="1541" width="27" style="138" customWidth="1"/>
    <col min="1542" max="1542" width="10.1796875" style="138" customWidth="1"/>
    <col min="1543" max="1543" width="18.81640625" style="138" customWidth="1"/>
    <col min="1544" max="1544" width="19.1796875" style="138" bestFit="1" customWidth="1"/>
    <col min="1545" max="1793" width="9.1796875" style="138"/>
    <col min="1794" max="1794" width="12.81640625" style="138" customWidth="1"/>
    <col min="1795" max="1795" width="30.81640625" style="138" customWidth="1"/>
    <col min="1796" max="1796" width="18.81640625" style="138" customWidth="1"/>
    <col min="1797" max="1797" width="27" style="138" customWidth="1"/>
    <col min="1798" max="1798" width="10.1796875" style="138" customWidth="1"/>
    <col min="1799" max="1799" width="18.81640625" style="138" customWidth="1"/>
    <col min="1800" max="1800" width="19.1796875" style="138" bestFit="1" customWidth="1"/>
    <col min="1801" max="2049" width="9.1796875" style="138"/>
    <col min="2050" max="2050" width="12.81640625" style="138" customWidth="1"/>
    <col min="2051" max="2051" width="30.81640625" style="138" customWidth="1"/>
    <col min="2052" max="2052" width="18.81640625" style="138" customWidth="1"/>
    <col min="2053" max="2053" width="27" style="138" customWidth="1"/>
    <col min="2054" max="2054" width="10.1796875" style="138" customWidth="1"/>
    <col min="2055" max="2055" width="18.81640625" style="138" customWidth="1"/>
    <col min="2056" max="2056" width="19.1796875" style="138" bestFit="1" customWidth="1"/>
    <col min="2057" max="2305" width="9.1796875" style="138"/>
    <col min="2306" max="2306" width="12.81640625" style="138" customWidth="1"/>
    <col min="2307" max="2307" width="30.81640625" style="138" customWidth="1"/>
    <col min="2308" max="2308" width="18.81640625" style="138" customWidth="1"/>
    <col min="2309" max="2309" width="27" style="138" customWidth="1"/>
    <col min="2310" max="2310" width="10.1796875" style="138" customWidth="1"/>
    <col min="2311" max="2311" width="18.81640625" style="138" customWidth="1"/>
    <col min="2312" max="2312" width="19.1796875" style="138" bestFit="1" customWidth="1"/>
    <col min="2313" max="2561" width="9.1796875" style="138"/>
    <col min="2562" max="2562" width="12.81640625" style="138" customWidth="1"/>
    <col min="2563" max="2563" width="30.81640625" style="138" customWidth="1"/>
    <col min="2564" max="2564" width="18.81640625" style="138" customWidth="1"/>
    <col min="2565" max="2565" width="27" style="138" customWidth="1"/>
    <col min="2566" max="2566" width="10.1796875" style="138" customWidth="1"/>
    <col min="2567" max="2567" width="18.81640625" style="138" customWidth="1"/>
    <col min="2568" max="2568" width="19.1796875" style="138" bestFit="1" customWidth="1"/>
    <col min="2569" max="2817" width="9.1796875" style="138"/>
    <col min="2818" max="2818" width="12.81640625" style="138" customWidth="1"/>
    <col min="2819" max="2819" width="30.81640625" style="138" customWidth="1"/>
    <col min="2820" max="2820" width="18.81640625" style="138" customWidth="1"/>
    <col min="2821" max="2821" width="27" style="138" customWidth="1"/>
    <col min="2822" max="2822" width="10.1796875" style="138" customWidth="1"/>
    <col min="2823" max="2823" width="18.81640625" style="138" customWidth="1"/>
    <col min="2824" max="2824" width="19.1796875" style="138" bestFit="1" customWidth="1"/>
    <col min="2825" max="3073" width="9.1796875" style="138"/>
    <col min="3074" max="3074" width="12.81640625" style="138" customWidth="1"/>
    <col min="3075" max="3075" width="30.81640625" style="138" customWidth="1"/>
    <col min="3076" max="3076" width="18.81640625" style="138" customWidth="1"/>
    <col min="3077" max="3077" width="27" style="138" customWidth="1"/>
    <col min="3078" max="3078" width="10.1796875" style="138" customWidth="1"/>
    <col min="3079" max="3079" width="18.81640625" style="138" customWidth="1"/>
    <col min="3080" max="3080" width="19.1796875" style="138" bestFit="1" customWidth="1"/>
    <col min="3081" max="3329" width="9.1796875" style="138"/>
    <col min="3330" max="3330" width="12.81640625" style="138" customWidth="1"/>
    <col min="3331" max="3331" width="30.81640625" style="138" customWidth="1"/>
    <col min="3332" max="3332" width="18.81640625" style="138" customWidth="1"/>
    <col min="3333" max="3333" width="27" style="138" customWidth="1"/>
    <col min="3334" max="3334" width="10.1796875" style="138" customWidth="1"/>
    <col min="3335" max="3335" width="18.81640625" style="138" customWidth="1"/>
    <col min="3336" max="3336" width="19.1796875" style="138" bestFit="1" customWidth="1"/>
    <col min="3337" max="3585" width="9.1796875" style="138"/>
    <col min="3586" max="3586" width="12.81640625" style="138" customWidth="1"/>
    <col min="3587" max="3587" width="30.81640625" style="138" customWidth="1"/>
    <col min="3588" max="3588" width="18.81640625" style="138" customWidth="1"/>
    <col min="3589" max="3589" width="27" style="138" customWidth="1"/>
    <col min="3590" max="3590" width="10.1796875" style="138" customWidth="1"/>
    <col min="3591" max="3591" width="18.81640625" style="138" customWidth="1"/>
    <col min="3592" max="3592" width="19.1796875" style="138" bestFit="1" customWidth="1"/>
    <col min="3593" max="3841" width="9.1796875" style="138"/>
    <col min="3842" max="3842" width="12.81640625" style="138" customWidth="1"/>
    <col min="3843" max="3843" width="30.81640625" style="138" customWidth="1"/>
    <col min="3844" max="3844" width="18.81640625" style="138" customWidth="1"/>
    <col min="3845" max="3845" width="27" style="138" customWidth="1"/>
    <col min="3846" max="3846" width="10.1796875" style="138" customWidth="1"/>
    <col min="3847" max="3847" width="18.81640625" style="138" customWidth="1"/>
    <col min="3848" max="3848" width="19.1796875" style="138" bestFit="1" customWidth="1"/>
    <col min="3849" max="4097" width="9.1796875" style="138"/>
    <col min="4098" max="4098" width="12.81640625" style="138" customWidth="1"/>
    <col min="4099" max="4099" width="30.81640625" style="138" customWidth="1"/>
    <col min="4100" max="4100" width="18.81640625" style="138" customWidth="1"/>
    <col min="4101" max="4101" width="27" style="138" customWidth="1"/>
    <col min="4102" max="4102" width="10.1796875" style="138" customWidth="1"/>
    <col min="4103" max="4103" width="18.81640625" style="138" customWidth="1"/>
    <col min="4104" max="4104" width="19.1796875" style="138" bestFit="1" customWidth="1"/>
    <col min="4105" max="4353" width="9.1796875" style="138"/>
    <col min="4354" max="4354" width="12.81640625" style="138" customWidth="1"/>
    <col min="4355" max="4355" width="30.81640625" style="138" customWidth="1"/>
    <col min="4356" max="4356" width="18.81640625" style="138" customWidth="1"/>
    <col min="4357" max="4357" width="27" style="138" customWidth="1"/>
    <col min="4358" max="4358" width="10.1796875" style="138" customWidth="1"/>
    <col min="4359" max="4359" width="18.81640625" style="138" customWidth="1"/>
    <col min="4360" max="4360" width="19.1796875" style="138" bestFit="1" customWidth="1"/>
    <col min="4361" max="4609" width="9.1796875" style="138"/>
    <col min="4610" max="4610" width="12.81640625" style="138" customWidth="1"/>
    <col min="4611" max="4611" width="30.81640625" style="138" customWidth="1"/>
    <col min="4612" max="4612" width="18.81640625" style="138" customWidth="1"/>
    <col min="4613" max="4613" width="27" style="138" customWidth="1"/>
    <col min="4614" max="4614" width="10.1796875" style="138" customWidth="1"/>
    <col min="4615" max="4615" width="18.81640625" style="138" customWidth="1"/>
    <col min="4616" max="4616" width="19.1796875" style="138" bestFit="1" customWidth="1"/>
    <col min="4617" max="4865" width="9.1796875" style="138"/>
    <col min="4866" max="4866" width="12.81640625" style="138" customWidth="1"/>
    <col min="4867" max="4867" width="30.81640625" style="138" customWidth="1"/>
    <col min="4868" max="4868" width="18.81640625" style="138" customWidth="1"/>
    <col min="4869" max="4869" width="27" style="138" customWidth="1"/>
    <col min="4870" max="4870" width="10.1796875" style="138" customWidth="1"/>
    <col min="4871" max="4871" width="18.81640625" style="138" customWidth="1"/>
    <col min="4872" max="4872" width="19.1796875" style="138" bestFit="1" customWidth="1"/>
    <col min="4873" max="5121" width="9.1796875" style="138"/>
    <col min="5122" max="5122" width="12.81640625" style="138" customWidth="1"/>
    <col min="5123" max="5123" width="30.81640625" style="138" customWidth="1"/>
    <col min="5124" max="5124" width="18.81640625" style="138" customWidth="1"/>
    <col min="5125" max="5125" width="27" style="138" customWidth="1"/>
    <col min="5126" max="5126" width="10.1796875" style="138" customWidth="1"/>
    <col min="5127" max="5127" width="18.81640625" style="138" customWidth="1"/>
    <col min="5128" max="5128" width="19.1796875" style="138" bestFit="1" customWidth="1"/>
    <col min="5129" max="5377" width="9.1796875" style="138"/>
    <col min="5378" max="5378" width="12.81640625" style="138" customWidth="1"/>
    <col min="5379" max="5379" width="30.81640625" style="138" customWidth="1"/>
    <col min="5380" max="5380" width="18.81640625" style="138" customWidth="1"/>
    <col min="5381" max="5381" width="27" style="138" customWidth="1"/>
    <col min="5382" max="5382" width="10.1796875" style="138" customWidth="1"/>
    <col min="5383" max="5383" width="18.81640625" style="138" customWidth="1"/>
    <col min="5384" max="5384" width="19.1796875" style="138" bestFit="1" customWidth="1"/>
    <col min="5385" max="5633" width="9.1796875" style="138"/>
    <col min="5634" max="5634" width="12.81640625" style="138" customWidth="1"/>
    <col min="5635" max="5635" width="30.81640625" style="138" customWidth="1"/>
    <col min="5636" max="5636" width="18.81640625" style="138" customWidth="1"/>
    <col min="5637" max="5637" width="27" style="138" customWidth="1"/>
    <col min="5638" max="5638" width="10.1796875" style="138" customWidth="1"/>
    <col min="5639" max="5639" width="18.81640625" style="138" customWidth="1"/>
    <col min="5640" max="5640" width="19.1796875" style="138" bestFit="1" customWidth="1"/>
    <col min="5641" max="5889" width="9.1796875" style="138"/>
    <col min="5890" max="5890" width="12.81640625" style="138" customWidth="1"/>
    <col min="5891" max="5891" width="30.81640625" style="138" customWidth="1"/>
    <col min="5892" max="5892" width="18.81640625" style="138" customWidth="1"/>
    <col min="5893" max="5893" width="27" style="138" customWidth="1"/>
    <col min="5894" max="5894" width="10.1796875" style="138" customWidth="1"/>
    <col min="5895" max="5895" width="18.81640625" style="138" customWidth="1"/>
    <col min="5896" max="5896" width="19.1796875" style="138" bestFit="1" customWidth="1"/>
    <col min="5897" max="6145" width="9.1796875" style="138"/>
    <col min="6146" max="6146" width="12.81640625" style="138" customWidth="1"/>
    <col min="6147" max="6147" width="30.81640625" style="138" customWidth="1"/>
    <col min="6148" max="6148" width="18.81640625" style="138" customWidth="1"/>
    <col min="6149" max="6149" width="27" style="138" customWidth="1"/>
    <col min="6150" max="6150" width="10.1796875" style="138" customWidth="1"/>
    <col min="6151" max="6151" width="18.81640625" style="138" customWidth="1"/>
    <col min="6152" max="6152" width="19.1796875" style="138" bestFit="1" customWidth="1"/>
    <col min="6153" max="6401" width="9.1796875" style="138"/>
    <col min="6402" max="6402" width="12.81640625" style="138" customWidth="1"/>
    <col min="6403" max="6403" width="30.81640625" style="138" customWidth="1"/>
    <col min="6404" max="6404" width="18.81640625" style="138" customWidth="1"/>
    <col min="6405" max="6405" width="27" style="138" customWidth="1"/>
    <col min="6406" max="6406" width="10.1796875" style="138" customWidth="1"/>
    <col min="6407" max="6407" width="18.81640625" style="138" customWidth="1"/>
    <col min="6408" max="6408" width="19.1796875" style="138" bestFit="1" customWidth="1"/>
    <col min="6409" max="6657" width="9.1796875" style="138"/>
    <col min="6658" max="6658" width="12.81640625" style="138" customWidth="1"/>
    <col min="6659" max="6659" width="30.81640625" style="138" customWidth="1"/>
    <col min="6660" max="6660" width="18.81640625" style="138" customWidth="1"/>
    <col min="6661" max="6661" width="27" style="138" customWidth="1"/>
    <col min="6662" max="6662" width="10.1796875" style="138" customWidth="1"/>
    <col min="6663" max="6663" width="18.81640625" style="138" customWidth="1"/>
    <col min="6664" max="6664" width="19.1796875" style="138" bestFit="1" customWidth="1"/>
    <col min="6665" max="6913" width="9.1796875" style="138"/>
    <col min="6914" max="6914" width="12.81640625" style="138" customWidth="1"/>
    <col min="6915" max="6915" width="30.81640625" style="138" customWidth="1"/>
    <col min="6916" max="6916" width="18.81640625" style="138" customWidth="1"/>
    <col min="6917" max="6917" width="27" style="138" customWidth="1"/>
    <col min="6918" max="6918" width="10.1796875" style="138" customWidth="1"/>
    <col min="6919" max="6919" width="18.81640625" style="138" customWidth="1"/>
    <col min="6920" max="6920" width="19.1796875" style="138" bestFit="1" customWidth="1"/>
    <col min="6921" max="7169" width="9.1796875" style="138"/>
    <col min="7170" max="7170" width="12.81640625" style="138" customWidth="1"/>
    <col min="7171" max="7171" width="30.81640625" style="138" customWidth="1"/>
    <col min="7172" max="7172" width="18.81640625" style="138" customWidth="1"/>
    <col min="7173" max="7173" width="27" style="138" customWidth="1"/>
    <col min="7174" max="7174" width="10.1796875" style="138" customWidth="1"/>
    <col min="7175" max="7175" width="18.81640625" style="138" customWidth="1"/>
    <col min="7176" max="7176" width="19.1796875" style="138" bestFit="1" customWidth="1"/>
    <col min="7177" max="7425" width="9.1796875" style="138"/>
    <col min="7426" max="7426" width="12.81640625" style="138" customWidth="1"/>
    <col min="7427" max="7427" width="30.81640625" style="138" customWidth="1"/>
    <col min="7428" max="7428" width="18.81640625" style="138" customWidth="1"/>
    <col min="7429" max="7429" width="27" style="138" customWidth="1"/>
    <col min="7430" max="7430" width="10.1796875" style="138" customWidth="1"/>
    <col min="7431" max="7431" width="18.81640625" style="138" customWidth="1"/>
    <col min="7432" max="7432" width="19.1796875" style="138" bestFit="1" customWidth="1"/>
    <col min="7433" max="7681" width="9.1796875" style="138"/>
    <col min="7682" max="7682" width="12.81640625" style="138" customWidth="1"/>
    <col min="7683" max="7683" width="30.81640625" style="138" customWidth="1"/>
    <col min="7684" max="7684" width="18.81640625" style="138" customWidth="1"/>
    <col min="7685" max="7685" width="27" style="138" customWidth="1"/>
    <col min="7686" max="7686" width="10.1796875" style="138" customWidth="1"/>
    <col min="7687" max="7687" width="18.81640625" style="138" customWidth="1"/>
    <col min="7688" max="7688" width="19.1796875" style="138" bestFit="1" customWidth="1"/>
    <col min="7689" max="7937" width="9.1796875" style="138"/>
    <col min="7938" max="7938" width="12.81640625" style="138" customWidth="1"/>
    <col min="7939" max="7939" width="30.81640625" style="138" customWidth="1"/>
    <col min="7940" max="7940" width="18.81640625" style="138" customWidth="1"/>
    <col min="7941" max="7941" width="27" style="138" customWidth="1"/>
    <col min="7942" max="7942" width="10.1796875" style="138" customWidth="1"/>
    <col min="7943" max="7943" width="18.81640625" style="138" customWidth="1"/>
    <col min="7944" max="7944" width="19.1796875" style="138" bestFit="1" customWidth="1"/>
    <col min="7945" max="8193" width="9.1796875" style="138"/>
    <col min="8194" max="8194" width="12.81640625" style="138" customWidth="1"/>
    <col min="8195" max="8195" width="30.81640625" style="138" customWidth="1"/>
    <col min="8196" max="8196" width="18.81640625" style="138" customWidth="1"/>
    <col min="8197" max="8197" width="27" style="138" customWidth="1"/>
    <col min="8198" max="8198" width="10.1796875" style="138" customWidth="1"/>
    <col min="8199" max="8199" width="18.81640625" style="138" customWidth="1"/>
    <col min="8200" max="8200" width="19.1796875" style="138" bestFit="1" customWidth="1"/>
    <col min="8201" max="8449" width="9.1796875" style="138"/>
    <col min="8450" max="8450" width="12.81640625" style="138" customWidth="1"/>
    <col min="8451" max="8451" width="30.81640625" style="138" customWidth="1"/>
    <col min="8452" max="8452" width="18.81640625" style="138" customWidth="1"/>
    <col min="8453" max="8453" width="27" style="138" customWidth="1"/>
    <col min="8454" max="8454" width="10.1796875" style="138" customWidth="1"/>
    <col min="8455" max="8455" width="18.81640625" style="138" customWidth="1"/>
    <col min="8456" max="8456" width="19.1796875" style="138" bestFit="1" customWidth="1"/>
    <col min="8457" max="8705" width="9.1796875" style="138"/>
    <col min="8706" max="8706" width="12.81640625" style="138" customWidth="1"/>
    <col min="8707" max="8707" width="30.81640625" style="138" customWidth="1"/>
    <col min="8708" max="8708" width="18.81640625" style="138" customWidth="1"/>
    <col min="8709" max="8709" width="27" style="138" customWidth="1"/>
    <col min="8710" max="8710" width="10.1796875" style="138" customWidth="1"/>
    <col min="8711" max="8711" width="18.81640625" style="138" customWidth="1"/>
    <col min="8712" max="8712" width="19.1796875" style="138" bestFit="1" customWidth="1"/>
    <col min="8713" max="8961" width="9.1796875" style="138"/>
    <col min="8962" max="8962" width="12.81640625" style="138" customWidth="1"/>
    <col min="8963" max="8963" width="30.81640625" style="138" customWidth="1"/>
    <col min="8964" max="8964" width="18.81640625" style="138" customWidth="1"/>
    <col min="8965" max="8965" width="27" style="138" customWidth="1"/>
    <col min="8966" max="8966" width="10.1796875" style="138" customWidth="1"/>
    <col min="8967" max="8967" width="18.81640625" style="138" customWidth="1"/>
    <col min="8968" max="8968" width="19.1796875" style="138" bestFit="1" customWidth="1"/>
    <col min="8969" max="9217" width="9.1796875" style="138"/>
    <col min="9218" max="9218" width="12.81640625" style="138" customWidth="1"/>
    <col min="9219" max="9219" width="30.81640625" style="138" customWidth="1"/>
    <col min="9220" max="9220" width="18.81640625" style="138" customWidth="1"/>
    <col min="9221" max="9221" width="27" style="138" customWidth="1"/>
    <col min="9222" max="9222" width="10.1796875" style="138" customWidth="1"/>
    <col min="9223" max="9223" width="18.81640625" style="138" customWidth="1"/>
    <col min="9224" max="9224" width="19.1796875" style="138" bestFit="1" customWidth="1"/>
    <col min="9225" max="9473" width="9.1796875" style="138"/>
    <col min="9474" max="9474" width="12.81640625" style="138" customWidth="1"/>
    <col min="9475" max="9475" width="30.81640625" style="138" customWidth="1"/>
    <col min="9476" max="9476" width="18.81640625" style="138" customWidth="1"/>
    <col min="9477" max="9477" width="27" style="138" customWidth="1"/>
    <col min="9478" max="9478" width="10.1796875" style="138" customWidth="1"/>
    <col min="9479" max="9479" width="18.81640625" style="138" customWidth="1"/>
    <col min="9480" max="9480" width="19.1796875" style="138" bestFit="1" customWidth="1"/>
    <col min="9481" max="9729" width="9.1796875" style="138"/>
    <col min="9730" max="9730" width="12.81640625" style="138" customWidth="1"/>
    <col min="9731" max="9731" width="30.81640625" style="138" customWidth="1"/>
    <col min="9732" max="9732" width="18.81640625" style="138" customWidth="1"/>
    <col min="9733" max="9733" width="27" style="138" customWidth="1"/>
    <col min="9734" max="9734" width="10.1796875" style="138" customWidth="1"/>
    <col min="9735" max="9735" width="18.81640625" style="138" customWidth="1"/>
    <col min="9736" max="9736" width="19.1796875" style="138" bestFit="1" customWidth="1"/>
    <col min="9737" max="9985" width="9.1796875" style="138"/>
    <col min="9986" max="9986" width="12.81640625" style="138" customWidth="1"/>
    <col min="9987" max="9987" width="30.81640625" style="138" customWidth="1"/>
    <col min="9988" max="9988" width="18.81640625" style="138" customWidth="1"/>
    <col min="9989" max="9989" width="27" style="138" customWidth="1"/>
    <col min="9990" max="9990" width="10.1796875" style="138" customWidth="1"/>
    <col min="9991" max="9991" width="18.81640625" style="138" customWidth="1"/>
    <col min="9992" max="9992" width="19.1796875" style="138" bestFit="1" customWidth="1"/>
    <col min="9993" max="10241" width="9.1796875" style="138"/>
    <col min="10242" max="10242" width="12.81640625" style="138" customWidth="1"/>
    <col min="10243" max="10243" width="30.81640625" style="138" customWidth="1"/>
    <col min="10244" max="10244" width="18.81640625" style="138" customWidth="1"/>
    <col min="10245" max="10245" width="27" style="138" customWidth="1"/>
    <col min="10246" max="10246" width="10.1796875" style="138" customWidth="1"/>
    <col min="10247" max="10247" width="18.81640625" style="138" customWidth="1"/>
    <col min="10248" max="10248" width="19.1796875" style="138" bestFit="1" customWidth="1"/>
    <col min="10249" max="10497" width="9.1796875" style="138"/>
    <col min="10498" max="10498" width="12.81640625" style="138" customWidth="1"/>
    <col min="10499" max="10499" width="30.81640625" style="138" customWidth="1"/>
    <col min="10500" max="10500" width="18.81640625" style="138" customWidth="1"/>
    <col min="10501" max="10501" width="27" style="138" customWidth="1"/>
    <col min="10502" max="10502" width="10.1796875" style="138" customWidth="1"/>
    <col min="10503" max="10503" width="18.81640625" style="138" customWidth="1"/>
    <col min="10504" max="10504" width="19.1796875" style="138" bestFit="1" customWidth="1"/>
    <col min="10505" max="10753" width="9.1796875" style="138"/>
    <col min="10754" max="10754" width="12.81640625" style="138" customWidth="1"/>
    <col min="10755" max="10755" width="30.81640625" style="138" customWidth="1"/>
    <col min="10756" max="10756" width="18.81640625" style="138" customWidth="1"/>
    <col min="10757" max="10757" width="27" style="138" customWidth="1"/>
    <col min="10758" max="10758" width="10.1796875" style="138" customWidth="1"/>
    <col min="10759" max="10759" width="18.81640625" style="138" customWidth="1"/>
    <col min="10760" max="10760" width="19.1796875" style="138" bestFit="1" customWidth="1"/>
    <col min="10761" max="11009" width="9.1796875" style="138"/>
    <col min="11010" max="11010" width="12.81640625" style="138" customWidth="1"/>
    <col min="11011" max="11011" width="30.81640625" style="138" customWidth="1"/>
    <col min="11012" max="11012" width="18.81640625" style="138" customWidth="1"/>
    <col min="11013" max="11013" width="27" style="138" customWidth="1"/>
    <col min="11014" max="11014" width="10.1796875" style="138" customWidth="1"/>
    <col min="11015" max="11015" width="18.81640625" style="138" customWidth="1"/>
    <col min="11016" max="11016" width="19.1796875" style="138" bestFit="1" customWidth="1"/>
    <col min="11017" max="11265" width="9.1796875" style="138"/>
    <col min="11266" max="11266" width="12.81640625" style="138" customWidth="1"/>
    <col min="11267" max="11267" width="30.81640625" style="138" customWidth="1"/>
    <col min="11268" max="11268" width="18.81640625" style="138" customWidth="1"/>
    <col min="11269" max="11269" width="27" style="138" customWidth="1"/>
    <col min="11270" max="11270" width="10.1796875" style="138" customWidth="1"/>
    <col min="11271" max="11271" width="18.81640625" style="138" customWidth="1"/>
    <col min="11272" max="11272" width="19.1796875" style="138" bestFit="1" customWidth="1"/>
    <col min="11273" max="11521" width="9.1796875" style="138"/>
    <col min="11522" max="11522" width="12.81640625" style="138" customWidth="1"/>
    <col min="11523" max="11523" width="30.81640625" style="138" customWidth="1"/>
    <col min="11524" max="11524" width="18.81640625" style="138" customWidth="1"/>
    <col min="11525" max="11525" width="27" style="138" customWidth="1"/>
    <col min="11526" max="11526" width="10.1796875" style="138" customWidth="1"/>
    <col min="11527" max="11527" width="18.81640625" style="138" customWidth="1"/>
    <col min="11528" max="11528" width="19.1796875" style="138" bestFit="1" customWidth="1"/>
    <col min="11529" max="11777" width="9.1796875" style="138"/>
    <col min="11778" max="11778" width="12.81640625" style="138" customWidth="1"/>
    <col min="11779" max="11779" width="30.81640625" style="138" customWidth="1"/>
    <col min="11780" max="11780" width="18.81640625" style="138" customWidth="1"/>
    <col min="11781" max="11781" width="27" style="138" customWidth="1"/>
    <col min="11782" max="11782" width="10.1796875" style="138" customWidth="1"/>
    <col min="11783" max="11783" width="18.81640625" style="138" customWidth="1"/>
    <col min="11784" max="11784" width="19.1796875" style="138" bestFit="1" customWidth="1"/>
    <col min="11785" max="12033" width="9.1796875" style="138"/>
    <col min="12034" max="12034" width="12.81640625" style="138" customWidth="1"/>
    <col min="12035" max="12035" width="30.81640625" style="138" customWidth="1"/>
    <col min="12036" max="12036" width="18.81640625" style="138" customWidth="1"/>
    <col min="12037" max="12037" width="27" style="138" customWidth="1"/>
    <col min="12038" max="12038" width="10.1796875" style="138" customWidth="1"/>
    <col min="12039" max="12039" width="18.81640625" style="138" customWidth="1"/>
    <col min="12040" max="12040" width="19.1796875" style="138" bestFit="1" customWidth="1"/>
    <col min="12041" max="12289" width="9.1796875" style="138"/>
    <col min="12290" max="12290" width="12.81640625" style="138" customWidth="1"/>
    <col min="12291" max="12291" width="30.81640625" style="138" customWidth="1"/>
    <col min="12292" max="12292" width="18.81640625" style="138" customWidth="1"/>
    <col min="12293" max="12293" width="27" style="138" customWidth="1"/>
    <col min="12294" max="12294" width="10.1796875" style="138" customWidth="1"/>
    <col min="12295" max="12295" width="18.81640625" style="138" customWidth="1"/>
    <col min="12296" max="12296" width="19.1796875" style="138" bestFit="1" customWidth="1"/>
    <col min="12297" max="12545" width="9.1796875" style="138"/>
    <col min="12546" max="12546" width="12.81640625" style="138" customWidth="1"/>
    <col min="12547" max="12547" width="30.81640625" style="138" customWidth="1"/>
    <col min="12548" max="12548" width="18.81640625" style="138" customWidth="1"/>
    <col min="12549" max="12549" width="27" style="138" customWidth="1"/>
    <col min="12550" max="12550" width="10.1796875" style="138" customWidth="1"/>
    <col min="12551" max="12551" width="18.81640625" style="138" customWidth="1"/>
    <col min="12552" max="12552" width="19.1796875" style="138" bestFit="1" customWidth="1"/>
    <col min="12553" max="12801" width="9.1796875" style="138"/>
    <col min="12802" max="12802" width="12.81640625" style="138" customWidth="1"/>
    <col min="12803" max="12803" width="30.81640625" style="138" customWidth="1"/>
    <col min="12804" max="12804" width="18.81640625" style="138" customWidth="1"/>
    <col min="12805" max="12805" width="27" style="138" customWidth="1"/>
    <col min="12806" max="12806" width="10.1796875" style="138" customWidth="1"/>
    <col min="12807" max="12807" width="18.81640625" style="138" customWidth="1"/>
    <col min="12808" max="12808" width="19.1796875" style="138" bestFit="1" customWidth="1"/>
    <col min="12809" max="13057" width="9.1796875" style="138"/>
    <col min="13058" max="13058" width="12.81640625" style="138" customWidth="1"/>
    <col min="13059" max="13059" width="30.81640625" style="138" customWidth="1"/>
    <col min="13060" max="13060" width="18.81640625" style="138" customWidth="1"/>
    <col min="13061" max="13061" width="27" style="138" customWidth="1"/>
    <col min="13062" max="13062" width="10.1796875" style="138" customWidth="1"/>
    <col min="13063" max="13063" width="18.81640625" style="138" customWidth="1"/>
    <col min="13064" max="13064" width="19.1796875" style="138" bestFit="1" customWidth="1"/>
    <col min="13065" max="13313" width="9.1796875" style="138"/>
    <col min="13314" max="13314" width="12.81640625" style="138" customWidth="1"/>
    <col min="13315" max="13315" width="30.81640625" style="138" customWidth="1"/>
    <col min="13316" max="13316" width="18.81640625" style="138" customWidth="1"/>
    <col min="13317" max="13317" width="27" style="138" customWidth="1"/>
    <col min="13318" max="13318" width="10.1796875" style="138" customWidth="1"/>
    <col min="13319" max="13319" width="18.81640625" style="138" customWidth="1"/>
    <col min="13320" max="13320" width="19.1796875" style="138" bestFit="1" customWidth="1"/>
    <col min="13321" max="13569" width="9.1796875" style="138"/>
    <col min="13570" max="13570" width="12.81640625" style="138" customWidth="1"/>
    <col min="13571" max="13571" width="30.81640625" style="138" customWidth="1"/>
    <col min="13572" max="13572" width="18.81640625" style="138" customWidth="1"/>
    <col min="13573" max="13573" width="27" style="138" customWidth="1"/>
    <col min="13574" max="13574" width="10.1796875" style="138" customWidth="1"/>
    <col min="13575" max="13575" width="18.81640625" style="138" customWidth="1"/>
    <col min="13576" max="13576" width="19.1796875" style="138" bestFit="1" customWidth="1"/>
    <col min="13577" max="13825" width="9.1796875" style="138"/>
    <col min="13826" max="13826" width="12.81640625" style="138" customWidth="1"/>
    <col min="13827" max="13827" width="30.81640625" style="138" customWidth="1"/>
    <col min="13828" max="13828" width="18.81640625" style="138" customWidth="1"/>
    <col min="13829" max="13829" width="27" style="138" customWidth="1"/>
    <col min="13830" max="13830" width="10.1796875" style="138" customWidth="1"/>
    <col min="13831" max="13831" width="18.81640625" style="138" customWidth="1"/>
    <col min="13832" max="13832" width="19.1796875" style="138" bestFit="1" customWidth="1"/>
    <col min="13833" max="14081" width="9.1796875" style="138"/>
    <col min="14082" max="14082" width="12.81640625" style="138" customWidth="1"/>
    <col min="14083" max="14083" width="30.81640625" style="138" customWidth="1"/>
    <col min="14084" max="14084" width="18.81640625" style="138" customWidth="1"/>
    <col min="14085" max="14085" width="27" style="138" customWidth="1"/>
    <col min="14086" max="14086" width="10.1796875" style="138" customWidth="1"/>
    <col min="14087" max="14087" width="18.81640625" style="138" customWidth="1"/>
    <col min="14088" max="14088" width="19.1796875" style="138" bestFit="1" customWidth="1"/>
    <col min="14089" max="14337" width="9.1796875" style="138"/>
    <col min="14338" max="14338" width="12.81640625" style="138" customWidth="1"/>
    <col min="14339" max="14339" width="30.81640625" style="138" customWidth="1"/>
    <col min="14340" max="14340" width="18.81640625" style="138" customWidth="1"/>
    <col min="14341" max="14341" width="27" style="138" customWidth="1"/>
    <col min="14342" max="14342" width="10.1796875" style="138" customWidth="1"/>
    <col min="14343" max="14343" width="18.81640625" style="138" customWidth="1"/>
    <col min="14344" max="14344" width="19.1796875" style="138" bestFit="1" customWidth="1"/>
    <col min="14345" max="14593" width="9.1796875" style="138"/>
    <col min="14594" max="14594" width="12.81640625" style="138" customWidth="1"/>
    <col min="14595" max="14595" width="30.81640625" style="138" customWidth="1"/>
    <col min="14596" max="14596" width="18.81640625" style="138" customWidth="1"/>
    <col min="14597" max="14597" width="27" style="138" customWidth="1"/>
    <col min="14598" max="14598" width="10.1796875" style="138" customWidth="1"/>
    <col min="14599" max="14599" width="18.81640625" style="138" customWidth="1"/>
    <col min="14600" max="14600" width="19.1796875" style="138" bestFit="1" customWidth="1"/>
    <col min="14601" max="14849" width="9.1796875" style="138"/>
    <col min="14850" max="14850" width="12.81640625" style="138" customWidth="1"/>
    <col min="14851" max="14851" width="30.81640625" style="138" customWidth="1"/>
    <col min="14852" max="14852" width="18.81640625" style="138" customWidth="1"/>
    <col min="14853" max="14853" width="27" style="138" customWidth="1"/>
    <col min="14854" max="14854" width="10.1796875" style="138" customWidth="1"/>
    <col min="14855" max="14855" width="18.81640625" style="138" customWidth="1"/>
    <col min="14856" max="14856" width="19.1796875" style="138" bestFit="1" customWidth="1"/>
    <col min="14857" max="15105" width="9.1796875" style="138"/>
    <col min="15106" max="15106" width="12.81640625" style="138" customWidth="1"/>
    <col min="15107" max="15107" width="30.81640625" style="138" customWidth="1"/>
    <col min="15108" max="15108" width="18.81640625" style="138" customWidth="1"/>
    <col min="15109" max="15109" width="27" style="138" customWidth="1"/>
    <col min="15110" max="15110" width="10.1796875" style="138" customWidth="1"/>
    <col min="15111" max="15111" width="18.81640625" style="138" customWidth="1"/>
    <col min="15112" max="15112" width="19.1796875" style="138" bestFit="1" customWidth="1"/>
    <col min="15113" max="15361" width="9.1796875" style="138"/>
    <col min="15362" max="15362" width="12.81640625" style="138" customWidth="1"/>
    <col min="15363" max="15363" width="30.81640625" style="138" customWidth="1"/>
    <col min="15364" max="15364" width="18.81640625" style="138" customWidth="1"/>
    <col min="15365" max="15365" width="27" style="138" customWidth="1"/>
    <col min="15366" max="15366" width="10.1796875" style="138" customWidth="1"/>
    <col min="15367" max="15367" width="18.81640625" style="138" customWidth="1"/>
    <col min="15368" max="15368" width="19.1796875" style="138" bestFit="1" customWidth="1"/>
    <col min="15369" max="15617" width="9.1796875" style="138"/>
    <col min="15618" max="15618" width="12.81640625" style="138" customWidth="1"/>
    <col min="15619" max="15619" width="30.81640625" style="138" customWidth="1"/>
    <col min="15620" max="15620" width="18.81640625" style="138" customWidth="1"/>
    <col min="15621" max="15621" width="27" style="138" customWidth="1"/>
    <col min="15622" max="15622" width="10.1796875" style="138" customWidth="1"/>
    <col min="15623" max="15623" width="18.81640625" style="138" customWidth="1"/>
    <col min="15624" max="15624" width="19.1796875" style="138" bestFit="1" customWidth="1"/>
    <col min="15625" max="15873" width="9.1796875" style="138"/>
    <col min="15874" max="15874" width="12.81640625" style="138" customWidth="1"/>
    <col min="15875" max="15875" width="30.81640625" style="138" customWidth="1"/>
    <col min="15876" max="15876" width="18.81640625" style="138" customWidth="1"/>
    <col min="15877" max="15877" width="27" style="138" customWidth="1"/>
    <col min="15878" max="15878" width="10.1796875" style="138" customWidth="1"/>
    <col min="15879" max="15879" width="18.81640625" style="138" customWidth="1"/>
    <col min="15880" max="15880" width="19.1796875" style="138" bestFit="1" customWidth="1"/>
    <col min="15881" max="16129" width="9.1796875" style="138"/>
    <col min="16130" max="16130" width="12.81640625" style="138" customWidth="1"/>
    <col min="16131" max="16131" width="30.81640625" style="138" customWidth="1"/>
    <col min="16132" max="16132" width="18.81640625" style="138" customWidth="1"/>
    <col min="16133" max="16133" width="27" style="138" customWidth="1"/>
    <col min="16134" max="16134" width="10.1796875" style="138" customWidth="1"/>
    <col min="16135" max="16135" width="18.81640625" style="138" customWidth="1"/>
    <col min="16136" max="16136" width="19.1796875" style="138" bestFit="1" customWidth="1"/>
    <col min="16137" max="16384" width="9.1796875" style="138"/>
  </cols>
  <sheetData>
    <row r="1" spans="1:8" ht="43" customHeight="1" x14ac:dyDescent="0.35">
      <c r="A1" s="614" t="s">
        <v>874</v>
      </c>
      <c r="B1" s="615"/>
      <c r="C1" s="615"/>
      <c r="D1" s="615"/>
      <c r="E1" s="615"/>
      <c r="F1" s="615"/>
      <c r="G1" s="615"/>
      <c r="H1" s="616"/>
    </row>
    <row r="2" spans="1:8" s="140" customFormat="1" ht="15.5" x14ac:dyDescent="0.35">
      <c r="A2" s="139"/>
      <c r="B2" s="118" t="s">
        <v>310</v>
      </c>
      <c r="C2" s="118"/>
      <c r="D2" s="119"/>
      <c r="E2" s="543"/>
      <c r="F2" s="543"/>
      <c r="G2" s="88">
        <v>1</v>
      </c>
      <c r="H2" s="90">
        <v>87</v>
      </c>
    </row>
    <row r="3" spans="1:8" s="140" customFormat="1" ht="15.5" x14ac:dyDescent="0.35">
      <c r="A3" s="120" t="s">
        <v>2</v>
      </c>
      <c r="B3" s="121" t="s">
        <v>3</v>
      </c>
      <c r="C3" s="121" t="s">
        <v>4</v>
      </c>
      <c r="D3" s="121" t="s">
        <v>5</v>
      </c>
      <c r="E3" s="544" t="s">
        <v>722</v>
      </c>
      <c r="F3" s="544" t="s">
        <v>724</v>
      </c>
      <c r="G3" s="121"/>
      <c r="H3" s="141"/>
    </row>
    <row r="4" spans="1:8" s="140" customFormat="1" ht="15.5" x14ac:dyDescent="0.35">
      <c r="A4" s="122"/>
      <c r="B4" s="123"/>
      <c r="C4" s="123" t="s">
        <v>7</v>
      </c>
      <c r="D4" s="123" t="s">
        <v>8</v>
      </c>
      <c r="E4" s="520" t="s">
        <v>291</v>
      </c>
      <c r="F4" s="520" t="s">
        <v>291</v>
      </c>
      <c r="G4" s="123"/>
      <c r="H4" s="124" t="s">
        <v>292</v>
      </c>
    </row>
    <row r="5" spans="1:8" ht="30" customHeight="1" x14ac:dyDescent="0.35">
      <c r="A5" s="94"/>
      <c r="B5" s="95"/>
      <c r="C5" s="96"/>
      <c r="D5" s="96"/>
      <c r="E5" s="545"/>
      <c r="F5" s="545"/>
      <c r="G5" s="96"/>
      <c r="H5" s="97"/>
    </row>
    <row r="6" spans="1:8" s="140" customFormat="1" ht="30" customHeight="1" x14ac:dyDescent="0.35">
      <c r="A6" s="91" t="s">
        <v>0</v>
      </c>
      <c r="B6" s="579" t="str">
        <f>'Ann I'!C2</f>
        <v>TOWAGE EXPENSES</v>
      </c>
      <c r="C6" s="579"/>
      <c r="D6" s="579"/>
      <c r="E6" s="579"/>
      <c r="F6" s="579"/>
      <c r="G6" s="579"/>
      <c r="H6" s="580"/>
    </row>
    <row r="7" spans="1:8" s="142" customFormat="1" ht="30" customHeight="1" x14ac:dyDescent="0.35">
      <c r="A7" s="98" t="s">
        <v>9</v>
      </c>
      <c r="B7" s="43" t="s">
        <v>323</v>
      </c>
      <c r="C7" s="99">
        <f>'Ann I'!C12</f>
        <v>15650</v>
      </c>
      <c r="D7" s="100">
        <f>C7*H2</f>
        <v>1361550</v>
      </c>
      <c r="E7" s="192">
        <f>'Ann I'!E12</f>
        <v>0</v>
      </c>
      <c r="F7" s="192">
        <f>'Ann I'!F12</f>
        <v>15650</v>
      </c>
      <c r="G7" s="59"/>
      <c r="H7" s="179" t="str">
        <f>'[1]Annexure I'!G2</f>
        <v>Annexure I</v>
      </c>
    </row>
    <row r="8" spans="1:8" s="142" customFormat="1" ht="30" customHeight="1" x14ac:dyDescent="0.35">
      <c r="A8" s="98" t="s">
        <v>16</v>
      </c>
      <c r="B8" s="101" t="s">
        <v>317</v>
      </c>
      <c r="C8" s="99">
        <f>'Ann I'!C22</f>
        <v>164200</v>
      </c>
      <c r="D8" s="100">
        <f>C8*H2</f>
        <v>14285400</v>
      </c>
      <c r="E8" s="192">
        <f>'Ann I'!E23</f>
        <v>0</v>
      </c>
      <c r="F8" s="192">
        <f>'Ann I'!F22</f>
        <v>164200</v>
      </c>
      <c r="G8" s="59"/>
      <c r="H8" s="179"/>
    </row>
    <row r="9" spans="1:8" ht="30" customHeight="1" x14ac:dyDescent="0.35">
      <c r="A9" s="127"/>
      <c r="B9" s="128" t="s">
        <v>15</v>
      </c>
      <c r="C9" s="108">
        <f>SUM(C7:C8)</f>
        <v>179850</v>
      </c>
      <c r="D9" s="110">
        <f>SUM(D7:D8)</f>
        <v>15646950</v>
      </c>
      <c r="E9" s="546">
        <f>SUM(E7:E8)</f>
        <v>0</v>
      </c>
      <c r="F9" s="546">
        <f>SUM(F7:F8)</f>
        <v>179850</v>
      </c>
      <c r="G9" s="110"/>
      <c r="H9" s="111"/>
    </row>
    <row r="10" spans="1:8" s="143" customFormat="1" ht="30" customHeight="1" x14ac:dyDescent="0.35">
      <c r="A10" s="91" t="s">
        <v>23</v>
      </c>
      <c r="B10" s="579" t="str">
        <f>'Ann II'!B2:E2</f>
        <v xml:space="preserve"> CLASS RELATED EXPENSES</v>
      </c>
      <c r="C10" s="579"/>
      <c r="D10" s="579"/>
      <c r="E10" s="579"/>
      <c r="F10" s="579"/>
      <c r="G10" s="579"/>
      <c r="H10" s="580"/>
    </row>
    <row r="11" spans="1:8" s="142" customFormat="1" ht="30" customHeight="1" x14ac:dyDescent="0.35">
      <c r="A11" s="98" t="s">
        <v>9</v>
      </c>
      <c r="B11" s="43" t="s">
        <v>318</v>
      </c>
      <c r="C11" s="99">
        <f>'Ann II'!C10</f>
        <v>36193</v>
      </c>
      <c r="D11" s="100">
        <f>C11*87</f>
        <v>3148791</v>
      </c>
      <c r="E11" s="192">
        <f>'Ann II'!I10</f>
        <v>20621.784274999998</v>
      </c>
      <c r="F11" s="192">
        <f>'Ann II'!J10</f>
        <v>15571.215725000002</v>
      </c>
      <c r="G11" s="45"/>
      <c r="H11" s="179" t="str">
        <f>'[1]Annexure II '!G2</f>
        <v>Annexure II</v>
      </c>
    </row>
    <row r="12" spans="1:8" ht="30" customHeight="1" x14ac:dyDescent="0.35">
      <c r="A12" s="129"/>
      <c r="B12" s="128" t="s">
        <v>15</v>
      </c>
      <c r="C12" s="108">
        <f>SUM(C11:C11)</f>
        <v>36193</v>
      </c>
      <c r="D12" s="110">
        <f>SUM(D11:D11)</f>
        <v>3148791</v>
      </c>
      <c r="E12" s="546">
        <f>'Ann II'!I10</f>
        <v>20621.784274999998</v>
      </c>
      <c r="F12" s="546">
        <f>'Ann II'!J10</f>
        <v>15571.215725000002</v>
      </c>
      <c r="G12" s="110"/>
      <c r="H12" s="111"/>
    </row>
    <row r="13" spans="1:8" s="143" customFormat="1" ht="30" customHeight="1" x14ac:dyDescent="0.35">
      <c r="A13" s="92" t="s">
        <v>27</v>
      </c>
      <c r="B13" s="581" t="str">
        <f>'Ann III'!B2:R2</f>
        <v>KHALID AND LAMPRELL PORT EXPENSES</v>
      </c>
      <c r="C13" s="579"/>
      <c r="D13" s="579"/>
      <c r="E13" s="579"/>
      <c r="F13" s="579"/>
      <c r="G13" s="579"/>
      <c r="H13" s="580"/>
    </row>
    <row r="14" spans="1:8" s="142" customFormat="1" ht="30" customHeight="1" x14ac:dyDescent="0.35">
      <c r="A14" s="98" t="s">
        <v>293</v>
      </c>
      <c r="B14" s="104" t="s">
        <v>294</v>
      </c>
      <c r="C14" s="99">
        <f>'Ann III'!H18</f>
        <v>936075</v>
      </c>
      <c r="D14" s="100">
        <f>C14*87</f>
        <v>81438525</v>
      </c>
      <c r="E14" s="192">
        <f>'Ann III'!N18</f>
        <v>886356.69</v>
      </c>
      <c r="F14" s="192">
        <f>'Ann III'!O18</f>
        <v>151718.31000000006</v>
      </c>
      <c r="G14" s="45"/>
      <c r="H14" s="180" t="s">
        <v>26</v>
      </c>
    </row>
    <row r="15" spans="1:8" ht="30" customHeight="1" x14ac:dyDescent="0.35">
      <c r="A15" s="129"/>
      <c r="B15" s="128" t="s">
        <v>15</v>
      </c>
      <c r="C15" s="108">
        <f>C14</f>
        <v>936075</v>
      </c>
      <c r="D15" s="110">
        <f>SUM(D14:D14)</f>
        <v>81438525</v>
      </c>
      <c r="E15" s="546">
        <f>'Ann III'!N18</f>
        <v>886356.69</v>
      </c>
      <c r="F15" s="546">
        <f>'Ann III'!O18</f>
        <v>151718.31000000006</v>
      </c>
      <c r="G15" s="110"/>
      <c r="H15" s="111"/>
    </row>
    <row r="16" spans="1:8" s="143" customFormat="1" ht="30" customHeight="1" x14ac:dyDescent="0.35">
      <c r="A16" s="92" t="str">
        <f>'[1]Annexure IV '!A6</f>
        <v>D</v>
      </c>
      <c r="B16" s="579" t="s">
        <v>262</v>
      </c>
      <c r="C16" s="579"/>
      <c r="D16" s="579"/>
      <c r="E16" s="579"/>
      <c r="F16" s="579"/>
      <c r="G16" s="579"/>
      <c r="H16" s="580"/>
    </row>
    <row r="17" spans="1:8" s="142" customFormat="1" ht="30" customHeight="1" x14ac:dyDescent="0.35">
      <c r="A17" s="98" t="s">
        <v>293</v>
      </c>
      <c r="B17" s="51" t="s">
        <v>295</v>
      </c>
      <c r="C17" s="99">
        <f>'Ann IV'!C10</f>
        <v>275000</v>
      </c>
      <c r="D17" s="100">
        <f>C17*87</f>
        <v>23925000</v>
      </c>
      <c r="E17" s="192">
        <f>'Ann IV'!E10</f>
        <v>127321</v>
      </c>
      <c r="F17" s="192">
        <f>'Ann IV'!F10</f>
        <v>147679</v>
      </c>
      <c r="G17" s="45"/>
      <c r="H17" s="179" t="str">
        <f>'[1]Annexure IV '!G2</f>
        <v>Annexure IV</v>
      </c>
    </row>
    <row r="18" spans="1:8" ht="30" customHeight="1" x14ac:dyDescent="0.35">
      <c r="A18" s="129"/>
      <c r="B18" s="128" t="s">
        <v>15</v>
      </c>
      <c r="C18" s="108">
        <f>SUM(C17:C17)</f>
        <v>275000</v>
      </c>
      <c r="D18" s="110">
        <f>SUM(D17:D17)</f>
        <v>23925000</v>
      </c>
      <c r="E18" s="546">
        <f>'Ann IV'!E10</f>
        <v>127321</v>
      </c>
      <c r="F18" s="546">
        <f>'Ann IV'!F10</f>
        <v>147679</v>
      </c>
      <c r="G18" s="110"/>
      <c r="H18" s="111"/>
    </row>
    <row r="19" spans="1:8" s="143" customFormat="1" ht="30" customHeight="1" x14ac:dyDescent="0.35">
      <c r="A19" s="92" t="s">
        <v>47</v>
      </c>
      <c r="B19" s="579" t="str">
        <f>'[1]Annexure V'!B6:E6</f>
        <v>Crew Expenses</v>
      </c>
      <c r="C19" s="579"/>
      <c r="D19" s="579"/>
      <c r="E19" s="579"/>
      <c r="F19" s="579"/>
      <c r="G19" s="579"/>
      <c r="H19" s="580"/>
    </row>
    <row r="20" spans="1:8" s="142" customFormat="1" ht="30" customHeight="1" x14ac:dyDescent="0.35">
      <c r="A20" s="98" t="s">
        <v>293</v>
      </c>
      <c r="B20" s="51" t="s">
        <v>311</v>
      </c>
      <c r="C20" s="99">
        <f>'Ann V'!C12</f>
        <v>917500</v>
      </c>
      <c r="D20" s="105">
        <f>C20*87</f>
        <v>79822500</v>
      </c>
      <c r="E20" s="192">
        <f>'Ann V'!E12</f>
        <v>692348</v>
      </c>
      <c r="F20" s="192">
        <f>'Ann V'!F12</f>
        <v>225152</v>
      </c>
      <c r="G20" s="106"/>
      <c r="H20" s="179" t="str">
        <f>'[1]Annexure V'!G2</f>
        <v>Annexure V</v>
      </c>
    </row>
    <row r="21" spans="1:8" ht="30" customHeight="1" x14ac:dyDescent="0.35">
      <c r="A21" s="129"/>
      <c r="B21" s="128" t="s">
        <v>15</v>
      </c>
      <c r="C21" s="108">
        <f>SUM(C20:C20)</f>
        <v>917500</v>
      </c>
      <c r="D21" s="110">
        <f>SUM(D20:D20)</f>
        <v>79822500</v>
      </c>
      <c r="E21" s="546">
        <f>'Ann V'!E12</f>
        <v>692348</v>
      </c>
      <c r="F21" s="546">
        <f>'Ann V'!F12</f>
        <v>225152</v>
      </c>
      <c r="G21" s="110"/>
      <c r="H21" s="111"/>
    </row>
    <row r="22" spans="1:8" s="143" customFormat="1" ht="30" customHeight="1" x14ac:dyDescent="0.35">
      <c r="A22" s="92" t="s">
        <v>53</v>
      </c>
      <c r="B22" s="579" t="s">
        <v>54</v>
      </c>
      <c r="C22" s="579"/>
      <c r="D22" s="579"/>
      <c r="E22" s="579"/>
      <c r="F22" s="579"/>
      <c r="G22" s="579"/>
      <c r="H22" s="580"/>
    </row>
    <row r="23" spans="1:8" s="142" customFormat="1" ht="30" customHeight="1" x14ac:dyDescent="0.35">
      <c r="A23" s="98" t="s">
        <v>293</v>
      </c>
      <c r="B23" s="59" t="s">
        <v>312</v>
      </c>
      <c r="C23" s="44">
        <f>'Ann VI-Drill'!F62</f>
        <v>6475383.5600000005</v>
      </c>
      <c r="D23" s="100">
        <f>C23*87</f>
        <v>563358369.72000003</v>
      </c>
      <c r="E23" s="192">
        <f>'Ann VI-Drill'!N62</f>
        <v>6527134.031969999</v>
      </c>
      <c r="F23" s="192">
        <f>'Ann VI-Drill'!O62</f>
        <v>-51750.471969998442</v>
      </c>
      <c r="G23" s="45"/>
      <c r="H23" s="179" t="str">
        <f>'[1]An VI - Drill'!K2</f>
        <v>Annexure VI</v>
      </c>
    </row>
    <row r="24" spans="1:8" ht="30" customHeight="1" x14ac:dyDescent="0.35">
      <c r="A24" s="129"/>
      <c r="B24" s="128" t="s">
        <v>15</v>
      </c>
      <c r="C24" s="108">
        <f>SUM(C23:C23)</f>
        <v>6475383.5600000005</v>
      </c>
      <c r="D24" s="110">
        <f>SUM(D23:D23)</f>
        <v>563358369.72000003</v>
      </c>
      <c r="E24" s="546">
        <f>'Ann VI-Drill'!N62</f>
        <v>6527134.031969999</v>
      </c>
      <c r="F24" s="546">
        <f>'Ann VI-Drill'!O62</f>
        <v>-51750.471969998442</v>
      </c>
      <c r="G24" s="110"/>
      <c r="H24" s="111"/>
    </row>
    <row r="25" spans="1:8" s="143" customFormat="1" ht="30" customHeight="1" x14ac:dyDescent="0.35">
      <c r="A25" s="92" t="s">
        <v>116</v>
      </c>
      <c r="B25" s="579" t="s">
        <v>138</v>
      </c>
      <c r="C25" s="579"/>
      <c r="D25" s="579"/>
      <c r="E25" s="579"/>
      <c r="F25" s="579"/>
      <c r="G25" s="579"/>
      <c r="H25" s="580"/>
    </row>
    <row r="26" spans="1:8" s="142" customFormat="1" ht="30" customHeight="1" x14ac:dyDescent="0.35">
      <c r="A26" s="103"/>
      <c r="B26" s="59" t="s">
        <v>313</v>
      </c>
      <c r="C26" s="107">
        <f>'Ann VII-Mech'!F33</f>
        <v>1760997</v>
      </c>
      <c r="D26" s="102">
        <f>C26*H2</f>
        <v>153206739</v>
      </c>
      <c r="E26" s="547">
        <f>'Ann VII-Mech'!M33</f>
        <v>1534282.4024799999</v>
      </c>
      <c r="F26" s="547">
        <f>'Ann VII-Mech'!N33</f>
        <v>226714.59752000007</v>
      </c>
      <c r="G26" s="102"/>
      <c r="H26" s="181" t="str">
        <f>'[1]An VII - Mech'!K2</f>
        <v>Annexure VII</v>
      </c>
    </row>
    <row r="27" spans="1:8" ht="30" customHeight="1" x14ac:dyDescent="0.35">
      <c r="A27" s="129"/>
      <c r="B27" s="128" t="s">
        <v>15</v>
      </c>
      <c r="C27" s="108">
        <f t="array" ref="C27:D27">C26:D26</f>
        <v>1760997</v>
      </c>
      <c r="D27" s="110">
        <v>153206739</v>
      </c>
      <c r="E27" s="546">
        <f>'Ann VII-Mech'!M33</f>
        <v>1534282.4024799999</v>
      </c>
      <c r="F27" s="546">
        <f>'Ann VII-Mech'!N33</f>
        <v>226714.59752000007</v>
      </c>
      <c r="G27" s="110"/>
      <c r="H27" s="130"/>
    </row>
    <row r="28" spans="1:8" s="143" customFormat="1" ht="30" customHeight="1" x14ac:dyDescent="0.35">
      <c r="A28" s="93" t="s">
        <v>141</v>
      </c>
      <c r="B28" s="582" t="s">
        <v>142</v>
      </c>
      <c r="C28" s="582"/>
      <c r="D28" s="582"/>
      <c r="E28" s="582"/>
      <c r="F28" s="582"/>
      <c r="G28" s="582"/>
      <c r="H28" s="583"/>
    </row>
    <row r="29" spans="1:8" s="142" customFormat="1" ht="30" customHeight="1" x14ac:dyDescent="0.35">
      <c r="A29" s="98" t="s">
        <v>293</v>
      </c>
      <c r="B29" s="59" t="s">
        <v>314</v>
      </c>
      <c r="C29" s="44">
        <f>'Ann VIII-Elec'!F41</f>
        <v>1320000</v>
      </c>
      <c r="D29" s="44">
        <f>C29*H2</f>
        <v>114840000</v>
      </c>
      <c r="E29" s="548">
        <f>'Ann VIII-Elec'!N41</f>
        <v>712385.22364000021</v>
      </c>
      <c r="F29" s="548">
        <f>'Ann VIII-Elec'!O41</f>
        <v>607614.77635999979</v>
      </c>
      <c r="G29" s="45"/>
      <c r="H29" s="179" t="str">
        <f>'[1]An VIII -Elec'!K2</f>
        <v>Annexure VIII</v>
      </c>
    </row>
    <row r="30" spans="1:8" ht="30" customHeight="1" x14ac:dyDescent="0.35">
      <c r="A30" s="129"/>
      <c r="B30" s="128" t="s">
        <v>15</v>
      </c>
      <c r="C30" s="108">
        <f>SUM(C29:C29)</f>
        <v>1320000</v>
      </c>
      <c r="D30" s="110">
        <f>D29</f>
        <v>114840000</v>
      </c>
      <c r="E30" s="546">
        <f>'Ann VIII-Elec'!N41</f>
        <v>712385.22364000021</v>
      </c>
      <c r="F30" s="546">
        <f>'Ann VIII-Elec'!O41</f>
        <v>607614.77635999979</v>
      </c>
      <c r="G30" s="110"/>
      <c r="H30" s="111"/>
    </row>
    <row r="31" spans="1:8" s="143" customFormat="1" ht="30" customHeight="1" x14ac:dyDescent="0.35">
      <c r="A31" s="92" t="s">
        <v>9</v>
      </c>
      <c r="B31" s="579" t="s">
        <v>191</v>
      </c>
      <c r="C31" s="579"/>
      <c r="D31" s="579"/>
      <c r="E31" s="579"/>
      <c r="F31" s="579"/>
      <c r="G31" s="579"/>
      <c r="H31" s="580"/>
    </row>
    <row r="32" spans="1:8" s="142" customFormat="1" ht="30" customHeight="1" x14ac:dyDescent="0.35">
      <c r="A32" s="98" t="s">
        <v>293</v>
      </c>
      <c r="B32" s="59" t="s">
        <v>315</v>
      </c>
      <c r="C32" s="99">
        <f>'Ann IX-Marine'!F66</f>
        <v>1856500</v>
      </c>
      <c r="D32" s="100">
        <f>C32*87</f>
        <v>161515500</v>
      </c>
      <c r="E32" s="192">
        <f>'Ann IX-Marine'!N66</f>
        <v>1107431.4560949001</v>
      </c>
      <c r="F32" s="192">
        <f>'Ann IX-Marine'!O66</f>
        <v>749068.54390509985</v>
      </c>
      <c r="G32" s="45"/>
      <c r="H32" s="179" t="str">
        <f>'[1]An IX - Marine'!K2</f>
        <v>Annexure IX</v>
      </c>
    </row>
    <row r="33" spans="1:8" ht="30" customHeight="1" x14ac:dyDescent="0.35">
      <c r="A33" s="129"/>
      <c r="B33" s="128" t="s">
        <v>15</v>
      </c>
      <c r="C33" s="108">
        <f>SUM(C32:C32)</f>
        <v>1856500</v>
      </c>
      <c r="D33" s="110">
        <f>D32</f>
        <v>161515500</v>
      </c>
      <c r="E33" s="546">
        <f>'Ann IX-Marine'!N66</f>
        <v>1107431.4560949001</v>
      </c>
      <c r="F33" s="546">
        <f>'Ann IX-Marine'!O66</f>
        <v>749068.54390509985</v>
      </c>
      <c r="G33" s="110"/>
      <c r="H33" s="111"/>
    </row>
    <row r="34" spans="1:8" s="143" customFormat="1" ht="30" customHeight="1" x14ac:dyDescent="0.35">
      <c r="A34" s="92" t="s">
        <v>244</v>
      </c>
      <c r="B34" s="584" t="s">
        <v>478</v>
      </c>
      <c r="C34" s="585"/>
      <c r="D34" s="585"/>
      <c r="E34" s="549"/>
      <c r="F34" s="549"/>
      <c r="G34" s="89"/>
      <c r="H34" s="182" t="s">
        <v>444</v>
      </c>
    </row>
    <row r="35" spans="1:8" ht="30" customHeight="1" x14ac:dyDescent="0.35">
      <c r="A35" s="129"/>
      <c r="B35" s="128" t="s">
        <v>15</v>
      </c>
      <c r="C35" s="108">
        <f>'Ann X-Contractual Req'!C49</f>
        <v>4946840</v>
      </c>
      <c r="D35" s="109">
        <f>C35*87</f>
        <v>430375080</v>
      </c>
      <c r="E35" s="546">
        <f>'Ann X-Contractual Req'!J49</f>
        <v>3498986.6248565</v>
      </c>
      <c r="F35" s="546">
        <f>'Ann X-Contractual Req'!K49</f>
        <v>1447853.3751435</v>
      </c>
      <c r="G35" s="131"/>
      <c r="H35" s="132"/>
    </row>
    <row r="36" spans="1:8" s="143" customFormat="1" ht="30" customHeight="1" x14ac:dyDescent="0.35">
      <c r="A36" s="92" t="s">
        <v>477</v>
      </c>
      <c r="B36" s="586" t="s">
        <v>463</v>
      </c>
      <c r="C36" s="587"/>
      <c r="D36" s="588"/>
      <c r="E36" s="550"/>
      <c r="F36" s="550"/>
      <c r="G36" s="125"/>
      <c r="H36" s="182" t="s">
        <v>476</v>
      </c>
    </row>
    <row r="37" spans="1:8" ht="30" customHeight="1" x14ac:dyDescent="0.35">
      <c r="A37" s="129"/>
      <c r="B37" s="128" t="s">
        <v>15</v>
      </c>
      <c r="C37" s="108">
        <f>'Ann XI-Missing items Saipem'!C20</f>
        <v>257150</v>
      </c>
      <c r="D37" s="109">
        <f>C37*87</f>
        <v>22372050</v>
      </c>
      <c r="E37" s="546">
        <f>'Ann XI-Missing items Saipem'!H20</f>
        <v>64492.822100000005</v>
      </c>
      <c r="F37" s="546">
        <f>'Ann XI-Missing items Saipem'!I20</f>
        <v>192657.17790000001</v>
      </c>
      <c r="G37" s="131"/>
      <c r="H37" s="578" t="s">
        <v>769</v>
      </c>
    </row>
    <row r="38" spans="1:8" ht="30" customHeight="1" x14ac:dyDescent="0.35">
      <c r="A38" s="610" t="s">
        <v>243</v>
      </c>
      <c r="B38" s="611"/>
      <c r="C38" s="133">
        <f>SUM(C9+C12+C15+C18+C21+C24+C27+C30+C33+C35+C37)</f>
        <v>18961488.560000002</v>
      </c>
      <c r="D38" s="134">
        <f>SUM(D9+D12+D15+D18+D21+D24+D27+D30+D33+D35+D37)</f>
        <v>1649649504.72</v>
      </c>
      <c r="E38" s="133">
        <f>E9+E12+E15+E18+E21+E24+E27+E30+E33+E35+E37</f>
        <v>15171360.0354164</v>
      </c>
      <c r="F38" s="133">
        <f>F9+F12+F15+F18+F21+F24+F27+F30+F33+F35</f>
        <v>3699471.3466836014</v>
      </c>
      <c r="G38" s="135"/>
      <c r="H38" s="136"/>
    </row>
    <row r="39" spans="1:8" ht="30" hidden="1" customHeight="1" x14ac:dyDescent="0.35">
      <c r="A39" s="112"/>
      <c r="B39" s="113"/>
      <c r="C39" s="114"/>
      <c r="D39" s="115"/>
      <c r="E39" s="551"/>
      <c r="F39" s="551"/>
      <c r="G39" s="116"/>
      <c r="H39" s="117"/>
    </row>
    <row r="40" spans="1:8" ht="30" customHeight="1" thickBot="1" x14ac:dyDescent="0.4">
      <c r="A40" s="612" t="s">
        <v>316</v>
      </c>
      <c r="B40" s="613"/>
      <c r="C40" s="137">
        <f>C38/1000000</f>
        <v>18.961488560000003</v>
      </c>
      <c r="D40" s="144"/>
      <c r="E40" s="553">
        <f>E38/1000000</f>
        <v>15.1713600354164</v>
      </c>
      <c r="F40" s="553">
        <f>F38/1000000</f>
        <v>3.6994713466836013</v>
      </c>
      <c r="G40" s="145"/>
      <c r="H40" s="146"/>
    </row>
    <row r="43" spans="1:8" x14ac:dyDescent="0.35">
      <c r="C43" s="147"/>
    </row>
    <row r="44" spans="1:8" x14ac:dyDescent="0.35">
      <c r="C44" s="147"/>
    </row>
  </sheetData>
  <mergeCells count="3">
    <mergeCell ref="A38:B38"/>
    <mergeCell ref="A40:B40"/>
    <mergeCell ref="A1:H1"/>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showGridLines="0" workbookViewId="0">
      <selection activeCell="F23" sqref="F23"/>
    </sheetView>
  </sheetViews>
  <sheetFormatPr defaultColWidth="9.1796875" defaultRowHeight="14.5" x14ac:dyDescent="0.35"/>
  <cols>
    <col min="1" max="1" width="9.1796875" style="148"/>
    <col min="2" max="2" width="57.1796875" style="148" customWidth="1"/>
    <col min="3" max="3" width="18.81640625" style="148" customWidth="1"/>
    <col min="4" max="4" width="17.54296875" style="148" bestFit="1" customWidth="1"/>
    <col min="5" max="6" width="17.54296875" style="536" customWidth="1"/>
    <col min="7" max="7" width="61.26953125" style="148" customWidth="1"/>
    <col min="8" max="16384" width="9.1796875" style="148"/>
  </cols>
  <sheetData>
    <row r="1" spans="1:7" ht="29.25" customHeight="1" x14ac:dyDescent="0.35">
      <c r="A1" s="617" t="s">
        <v>354</v>
      </c>
      <c r="B1" s="617"/>
      <c r="C1" s="617"/>
      <c r="D1" s="617"/>
      <c r="E1" s="617"/>
      <c r="F1" s="617"/>
      <c r="G1" s="617"/>
    </row>
    <row r="2" spans="1:7" ht="15.5" x14ac:dyDescent="0.35">
      <c r="A2" s="82" t="s">
        <v>0</v>
      </c>
      <c r="B2" s="77"/>
      <c r="C2" s="78" t="s">
        <v>1</v>
      </c>
      <c r="D2" s="78"/>
      <c r="E2" s="529"/>
      <c r="F2" s="529"/>
      <c r="G2" s="79"/>
    </row>
    <row r="3" spans="1:7" ht="15.5" x14ac:dyDescent="0.35">
      <c r="A3" s="80" t="s">
        <v>2</v>
      </c>
      <c r="B3" s="80" t="s">
        <v>3</v>
      </c>
      <c r="C3" s="80" t="s">
        <v>4</v>
      </c>
      <c r="D3" s="81" t="s">
        <v>4</v>
      </c>
      <c r="E3" s="530" t="s">
        <v>723</v>
      </c>
      <c r="F3" s="554" t="s">
        <v>721</v>
      </c>
      <c r="G3" s="82" t="s">
        <v>6</v>
      </c>
    </row>
    <row r="4" spans="1:7" ht="15.5" x14ac:dyDescent="0.35">
      <c r="A4" s="80"/>
      <c r="B4" s="80"/>
      <c r="C4" s="83" t="s">
        <v>7</v>
      </c>
      <c r="D4" s="82" t="s">
        <v>8</v>
      </c>
      <c r="E4" s="438" t="s">
        <v>7</v>
      </c>
      <c r="F4" s="438" t="s">
        <v>7</v>
      </c>
      <c r="G4" s="80"/>
    </row>
    <row r="5" spans="1:7" ht="15.5" x14ac:dyDescent="0.35">
      <c r="A5" s="1"/>
      <c r="B5" s="20"/>
      <c r="C5" s="21"/>
      <c r="D5" s="21"/>
      <c r="E5" s="531"/>
      <c r="F5" s="531"/>
      <c r="G5" s="21"/>
    </row>
    <row r="6" spans="1:7" x14ac:dyDescent="0.35">
      <c r="B6" s="25"/>
      <c r="C6" s="26"/>
      <c r="D6" s="26"/>
      <c r="E6" s="532"/>
      <c r="F6" s="532"/>
      <c r="G6" s="26"/>
    </row>
    <row r="7" spans="1:7" ht="26.25" customHeight="1" x14ac:dyDescent="0.35">
      <c r="A7" s="185" t="s">
        <v>9</v>
      </c>
      <c r="B7" s="85"/>
      <c r="C7" s="86" t="s">
        <v>492</v>
      </c>
      <c r="D7" s="86"/>
      <c r="E7" s="533"/>
      <c r="F7" s="533"/>
      <c r="G7" s="86"/>
    </row>
    <row r="8" spans="1:7" x14ac:dyDescent="0.35">
      <c r="A8" s="84">
        <v>1</v>
      </c>
      <c r="B8" s="28" t="s">
        <v>10</v>
      </c>
      <c r="C8" s="52">
        <f>1925*2</f>
        <v>3850</v>
      </c>
      <c r="D8" s="30">
        <f>C8*87</f>
        <v>334950</v>
      </c>
      <c r="E8" s="534">
        <v>0</v>
      </c>
      <c r="F8" s="534">
        <f>C8-E8</f>
        <v>3850</v>
      </c>
      <c r="G8" s="186" t="s">
        <v>322</v>
      </c>
    </row>
    <row r="9" spans="1:7" ht="32.25" customHeight="1" x14ac:dyDescent="0.35">
      <c r="A9" s="84">
        <v>2</v>
      </c>
      <c r="B9" s="27" t="s">
        <v>11</v>
      </c>
      <c r="C9" s="52">
        <f>900*2</f>
        <v>1800</v>
      </c>
      <c r="D9" s="30">
        <f>C9*87</f>
        <v>156600</v>
      </c>
      <c r="E9" s="534">
        <v>0</v>
      </c>
      <c r="F9" s="534">
        <f t="shared" ref="F9:F11" si="0">C9-E9</f>
        <v>1800</v>
      </c>
      <c r="G9" s="30" t="s">
        <v>363</v>
      </c>
    </row>
    <row r="10" spans="1:7" ht="30.75" customHeight="1" x14ac:dyDescent="0.35">
      <c r="A10" s="84">
        <v>3</v>
      </c>
      <c r="B10" s="33" t="s">
        <v>12</v>
      </c>
      <c r="C10" s="34">
        <v>2000</v>
      </c>
      <c r="D10" s="30">
        <f>C10*87</f>
        <v>174000</v>
      </c>
      <c r="E10" s="534">
        <v>0</v>
      </c>
      <c r="F10" s="534">
        <f t="shared" si="0"/>
        <v>2000</v>
      </c>
      <c r="G10" s="30"/>
    </row>
    <row r="11" spans="1:7" ht="32.25" customHeight="1" x14ac:dyDescent="0.35">
      <c r="A11" s="84">
        <v>4</v>
      </c>
      <c r="B11" s="33" t="s">
        <v>14</v>
      </c>
      <c r="C11" s="34">
        <f>2000*4</f>
        <v>8000</v>
      </c>
      <c r="D11" s="30">
        <f>C11*87</f>
        <v>696000</v>
      </c>
      <c r="E11" s="534">
        <v>0</v>
      </c>
      <c r="F11" s="534">
        <f t="shared" si="0"/>
        <v>8000</v>
      </c>
      <c r="G11" s="334" t="s">
        <v>521</v>
      </c>
    </row>
    <row r="12" spans="1:7" x14ac:dyDescent="0.35">
      <c r="A12" s="620" t="s">
        <v>15</v>
      </c>
      <c r="B12" s="621"/>
      <c r="C12" s="35">
        <f>SUM(C8:C11)</f>
        <v>15650</v>
      </c>
      <c r="D12" s="36">
        <f>SUM(D8:D11)</f>
        <v>1361550</v>
      </c>
      <c r="E12" s="535">
        <f>SUM(E8:E11)</f>
        <v>0</v>
      </c>
      <c r="F12" s="535">
        <f>SUM(F8:F11)</f>
        <v>15650</v>
      </c>
      <c r="G12" s="36"/>
    </row>
    <row r="13" spans="1:7" ht="32.25" customHeight="1" x14ac:dyDescent="0.35">
      <c r="A13" s="87" t="s">
        <v>16</v>
      </c>
      <c r="B13" s="85"/>
      <c r="C13" s="86" t="s">
        <v>17</v>
      </c>
      <c r="D13" s="86"/>
      <c r="E13" s="533"/>
      <c r="F13" s="533"/>
      <c r="G13" s="86"/>
    </row>
    <row r="14" spans="1:7" ht="25" customHeight="1" x14ac:dyDescent="0.35">
      <c r="A14" s="84">
        <v>6</v>
      </c>
      <c r="B14" s="31" t="s">
        <v>547</v>
      </c>
      <c r="C14" s="37">
        <v>4000</v>
      </c>
      <c r="D14" s="30">
        <f>C14*87</f>
        <v>348000</v>
      </c>
      <c r="E14" s="534">
        <v>0</v>
      </c>
      <c r="F14" s="534">
        <f>C14-E14</f>
        <v>4000</v>
      </c>
      <c r="G14" s="334" t="s">
        <v>522</v>
      </c>
    </row>
    <row r="15" spans="1:7" ht="25" customHeight="1" x14ac:dyDescent="0.35">
      <c r="A15" s="84">
        <v>7</v>
      </c>
      <c r="B15" s="29" t="s">
        <v>18</v>
      </c>
      <c r="C15" s="34">
        <f>50*4</f>
        <v>200</v>
      </c>
      <c r="D15" s="30">
        <f t="shared" ref="D15:D22" si="1">C15*87</f>
        <v>17400</v>
      </c>
      <c r="E15" s="534">
        <v>0</v>
      </c>
      <c r="F15" s="534">
        <f t="shared" ref="F15:F22" si="2">C15-E15</f>
        <v>200</v>
      </c>
      <c r="G15" s="334" t="s">
        <v>521</v>
      </c>
    </row>
    <row r="16" spans="1:7" ht="25" customHeight="1" x14ac:dyDescent="0.35">
      <c r="A16" s="84">
        <v>8</v>
      </c>
      <c r="B16" s="33" t="s">
        <v>489</v>
      </c>
      <c r="C16" s="34">
        <v>150000</v>
      </c>
      <c r="D16" s="30">
        <f t="shared" si="1"/>
        <v>13050000</v>
      </c>
      <c r="E16" s="534">
        <v>0</v>
      </c>
      <c r="F16" s="534">
        <f t="shared" si="2"/>
        <v>150000</v>
      </c>
      <c r="G16" s="30" t="s">
        <v>324</v>
      </c>
    </row>
    <row r="17" spans="1:7" ht="25" customHeight="1" x14ac:dyDescent="0.35">
      <c r="A17" s="84">
        <v>9</v>
      </c>
      <c r="B17" s="38" t="s">
        <v>19</v>
      </c>
      <c r="C17" s="34"/>
      <c r="D17" s="30">
        <f t="shared" si="1"/>
        <v>0</v>
      </c>
      <c r="E17" s="534">
        <v>0</v>
      </c>
      <c r="F17" s="534">
        <f t="shared" si="2"/>
        <v>0</v>
      </c>
      <c r="G17" s="32"/>
    </row>
    <row r="18" spans="1:7" ht="25" customHeight="1" x14ac:dyDescent="0.35">
      <c r="A18" s="84">
        <v>10</v>
      </c>
      <c r="B18" s="38" t="s">
        <v>20</v>
      </c>
      <c r="C18" s="34"/>
      <c r="D18" s="30">
        <f t="shared" si="1"/>
        <v>0</v>
      </c>
      <c r="E18" s="534">
        <v>0</v>
      </c>
      <c r="F18" s="534">
        <f t="shared" si="2"/>
        <v>0</v>
      </c>
      <c r="G18" s="32"/>
    </row>
    <row r="19" spans="1:7" ht="25" customHeight="1" x14ac:dyDescent="0.35">
      <c r="A19" s="84">
        <v>11</v>
      </c>
      <c r="B19" s="29" t="s">
        <v>21</v>
      </c>
      <c r="C19" s="34"/>
      <c r="D19" s="30">
        <f t="shared" si="1"/>
        <v>0</v>
      </c>
      <c r="E19" s="534">
        <v>0</v>
      </c>
      <c r="F19" s="534">
        <f t="shared" si="2"/>
        <v>0</v>
      </c>
      <c r="G19" s="32"/>
    </row>
    <row r="20" spans="1:7" ht="25" customHeight="1" x14ac:dyDescent="0.35">
      <c r="A20" s="84">
        <v>12</v>
      </c>
      <c r="B20" s="38" t="s">
        <v>289</v>
      </c>
      <c r="C20" s="34"/>
      <c r="D20" s="30">
        <f t="shared" si="1"/>
        <v>0</v>
      </c>
      <c r="E20" s="534">
        <v>0</v>
      </c>
      <c r="F20" s="534">
        <f t="shared" si="2"/>
        <v>0</v>
      </c>
      <c r="G20" s="32"/>
    </row>
    <row r="21" spans="1:7" ht="25" customHeight="1" x14ac:dyDescent="0.35">
      <c r="A21" s="84">
        <v>13</v>
      </c>
      <c r="B21" s="38" t="s">
        <v>22</v>
      </c>
      <c r="C21" s="34">
        <v>10000</v>
      </c>
      <c r="D21" s="30">
        <f t="shared" si="1"/>
        <v>870000</v>
      </c>
      <c r="E21" s="534">
        <v>0</v>
      </c>
      <c r="F21" s="534">
        <f t="shared" si="2"/>
        <v>10000</v>
      </c>
      <c r="G21" s="30"/>
    </row>
    <row r="22" spans="1:7" ht="25" customHeight="1" x14ac:dyDescent="0.35">
      <c r="A22" s="27"/>
      <c r="B22" s="15"/>
      <c r="C22" s="69">
        <f>SUM(C14:C21)</f>
        <v>164200</v>
      </c>
      <c r="D22" s="70">
        <f t="shared" si="1"/>
        <v>14285400</v>
      </c>
      <c r="E22" s="534">
        <v>0</v>
      </c>
      <c r="F22" s="534">
        <f t="shared" si="2"/>
        <v>164200</v>
      </c>
      <c r="G22" s="12"/>
    </row>
    <row r="23" spans="1:7" ht="15.5" x14ac:dyDescent="0.35">
      <c r="A23" s="618" t="s">
        <v>15</v>
      </c>
      <c r="B23" s="619"/>
      <c r="C23" s="66">
        <f>SUM(C12,C22)</f>
        <v>179850</v>
      </c>
      <c r="D23" s="6">
        <f>SUM(D12,D22)</f>
        <v>15646950</v>
      </c>
      <c r="E23" s="522">
        <f>SUM(E14:E22)</f>
        <v>0</v>
      </c>
      <c r="F23" s="522">
        <f>C23-E23</f>
        <v>179850</v>
      </c>
      <c r="G23" s="6"/>
    </row>
    <row r="24" spans="1:7" ht="15" thickBot="1" x14ac:dyDescent="0.4"/>
    <row r="25" spans="1:7" x14ac:dyDescent="0.35">
      <c r="A25" s="622" t="s">
        <v>542</v>
      </c>
      <c r="B25" s="623"/>
      <c r="C25" s="623"/>
      <c r="D25" s="623"/>
      <c r="E25" s="623"/>
      <c r="F25" s="623"/>
      <c r="G25" s="624"/>
    </row>
    <row r="26" spans="1:7" ht="15" thickBot="1" x14ac:dyDescent="0.4">
      <c r="A26" s="625"/>
      <c r="B26" s="626"/>
      <c r="C26" s="626"/>
      <c r="D26" s="626"/>
      <c r="E26" s="626"/>
      <c r="F26" s="626"/>
      <c r="G26" s="627"/>
    </row>
  </sheetData>
  <mergeCells count="4">
    <mergeCell ref="A1:G1"/>
    <mergeCell ref="A23:B23"/>
    <mergeCell ref="A12:B12"/>
    <mergeCell ref="A25:G26"/>
  </mergeCells>
  <pageMargins left="0.7" right="0.7" top="0.75" bottom="0.75" header="0.3" footer="0.3"/>
  <pageSetup paperSize="9" scale="9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zoomScale="64" zoomScaleNormal="64" workbookViewId="0">
      <selection activeCell="I7" sqref="I7"/>
    </sheetView>
  </sheetViews>
  <sheetFormatPr defaultRowHeight="14.5" x14ac:dyDescent="0.35"/>
  <cols>
    <col min="1" max="1" width="7.54296875" bestFit="1" customWidth="1"/>
    <col min="2" max="2" width="67.1796875" customWidth="1"/>
    <col min="3" max="3" width="18.54296875" customWidth="1"/>
    <col min="4" max="4" width="17.1796875" customWidth="1"/>
    <col min="5" max="5" width="26.54296875" customWidth="1"/>
    <col min="6" max="6" width="19.453125" customWidth="1"/>
    <col min="7" max="7" width="19.54296875" style="421" customWidth="1"/>
    <col min="8" max="8" width="19.54296875" style="460" customWidth="1"/>
    <col min="9" max="9" width="19.54296875" style="421" customWidth="1"/>
    <col min="10" max="10" width="24.7265625" style="542" customWidth="1"/>
    <col min="11" max="12" width="26.54296875" customWidth="1"/>
    <col min="13" max="13" width="46.7265625" customWidth="1"/>
    <col min="14" max="14" width="15.81640625" customWidth="1"/>
  </cols>
  <sheetData>
    <row r="1" spans="1:14" ht="29.25" customHeight="1" x14ac:dyDescent="0.35">
      <c r="A1" s="628" t="s">
        <v>353</v>
      </c>
      <c r="B1" s="629"/>
      <c r="C1" s="629"/>
      <c r="D1" s="629"/>
      <c r="E1" s="629"/>
      <c r="F1" s="629"/>
      <c r="G1" s="629"/>
      <c r="H1" s="629"/>
      <c r="I1" s="629"/>
      <c r="J1" s="629"/>
      <c r="K1" s="629"/>
      <c r="L1" s="629"/>
      <c r="M1" s="629"/>
      <c r="N1" s="629"/>
    </row>
    <row r="2" spans="1:14" ht="27.75" customHeight="1" x14ac:dyDescent="0.35">
      <c r="A2" s="325" t="s">
        <v>23</v>
      </c>
      <c r="B2" s="636" t="s">
        <v>24</v>
      </c>
      <c r="C2" s="637"/>
      <c r="D2" s="637"/>
      <c r="E2" s="638"/>
      <c r="F2" s="339"/>
      <c r="G2" s="436"/>
      <c r="H2" s="458"/>
      <c r="I2" s="436"/>
      <c r="J2" s="537"/>
      <c r="K2" s="339"/>
      <c r="L2" s="339"/>
      <c r="M2" s="326"/>
      <c r="N2" s="321"/>
    </row>
    <row r="3" spans="1:14" ht="29.15" customHeight="1" x14ac:dyDescent="0.35">
      <c r="A3" s="639" t="s">
        <v>2</v>
      </c>
      <c r="B3" s="639" t="s">
        <v>3</v>
      </c>
      <c r="C3" s="83" t="s">
        <v>4</v>
      </c>
      <c r="D3" s="327" t="s">
        <v>374</v>
      </c>
      <c r="E3" s="80" t="s">
        <v>4</v>
      </c>
      <c r="F3" s="80" t="s">
        <v>665</v>
      </c>
      <c r="G3" s="437" t="s">
        <v>666</v>
      </c>
      <c r="H3" s="463" t="s">
        <v>667</v>
      </c>
      <c r="I3" s="437" t="s">
        <v>717</v>
      </c>
      <c r="J3" s="437" t="s">
        <v>721</v>
      </c>
      <c r="K3" s="80" t="s">
        <v>555</v>
      </c>
      <c r="L3" s="80" t="s">
        <v>526</v>
      </c>
      <c r="M3" s="640" t="s">
        <v>6</v>
      </c>
      <c r="N3" s="632" t="s">
        <v>332</v>
      </c>
    </row>
    <row r="4" spans="1:14" ht="15.5" x14ac:dyDescent="0.35">
      <c r="A4" s="639"/>
      <c r="B4" s="639"/>
      <c r="C4" s="83" t="s">
        <v>7</v>
      </c>
      <c r="D4" s="83" t="s">
        <v>7</v>
      </c>
      <c r="E4" s="83" t="s">
        <v>8</v>
      </c>
      <c r="F4" s="340"/>
      <c r="G4" s="438"/>
      <c r="H4" s="466"/>
      <c r="I4" s="438"/>
      <c r="J4" s="538"/>
      <c r="K4" s="340"/>
      <c r="L4" s="340"/>
      <c r="M4" s="640"/>
      <c r="N4" s="632"/>
    </row>
    <row r="5" spans="1:14" ht="15.5" x14ac:dyDescent="0.35">
      <c r="A5" s="22"/>
      <c r="B5" s="23"/>
      <c r="C5" s="22"/>
      <c r="D5" s="22"/>
      <c r="E5" s="22"/>
      <c r="F5" s="22"/>
      <c r="G5" s="439"/>
      <c r="H5" s="462"/>
      <c r="I5" s="439"/>
      <c r="J5" s="539"/>
      <c r="K5" s="22"/>
      <c r="L5" s="22"/>
      <c r="M5" s="22"/>
      <c r="N5" s="22"/>
    </row>
    <row r="6" spans="1:14" ht="15.5" x14ac:dyDescent="0.35">
      <c r="A6" s="39" t="s">
        <v>9</v>
      </c>
      <c r="B6" s="633" t="s">
        <v>25</v>
      </c>
      <c r="C6" s="634"/>
      <c r="D6" s="634"/>
      <c r="E6" s="634"/>
      <c r="F6" s="634"/>
      <c r="G6" s="634"/>
      <c r="H6" s="634"/>
      <c r="I6" s="634"/>
      <c r="J6" s="634"/>
      <c r="K6" s="634"/>
      <c r="L6" s="634"/>
      <c r="M6" s="635"/>
      <c r="N6" s="62"/>
    </row>
    <row r="7" spans="1:14" ht="58.5" customHeight="1" x14ac:dyDescent="0.35">
      <c r="A7" s="40">
        <v>1</v>
      </c>
      <c r="B7" s="43" t="s">
        <v>490</v>
      </c>
      <c r="C7" s="41">
        <f>16193</f>
        <v>16193</v>
      </c>
      <c r="D7" s="73"/>
      <c r="E7" s="42">
        <f>C7*87</f>
        <v>1408791</v>
      </c>
      <c r="F7" s="344">
        <v>56597</v>
      </c>
      <c r="G7" s="440"/>
      <c r="H7" s="465">
        <v>42697.5</v>
      </c>
      <c r="I7" s="510">
        <f>F7*0.27+G7+H7*0.01149</f>
        <v>15771.784275</v>
      </c>
      <c r="J7" s="540">
        <f>C7-I7</f>
        <v>421.21572500000002</v>
      </c>
      <c r="K7" s="344" t="s">
        <v>668</v>
      </c>
      <c r="L7" s="344" t="s">
        <v>669</v>
      </c>
      <c r="M7" s="47" t="s">
        <v>527</v>
      </c>
      <c r="N7" s="61" t="s">
        <v>333</v>
      </c>
    </row>
    <row r="8" spans="1:14" ht="36" customHeight="1" x14ac:dyDescent="0.35">
      <c r="A8" s="40">
        <v>2</v>
      </c>
      <c r="B8" s="331" t="s">
        <v>494</v>
      </c>
      <c r="C8" s="44">
        <v>5000</v>
      </c>
      <c r="D8" s="74"/>
      <c r="E8" s="42"/>
      <c r="F8" s="42"/>
      <c r="G8" s="440"/>
      <c r="H8" s="461"/>
      <c r="I8" s="510">
        <f t="shared" ref="I8:I9" si="0">F8*0.27+G8+H8*0.01149</f>
        <v>0</v>
      </c>
      <c r="J8" s="540">
        <f t="shared" ref="J8:J9" si="1">C8-I8</f>
        <v>5000</v>
      </c>
      <c r="K8" s="42"/>
      <c r="L8" s="42"/>
      <c r="M8" s="47"/>
      <c r="N8" s="62"/>
    </row>
    <row r="9" spans="1:14" ht="33.75" customHeight="1" x14ac:dyDescent="0.35">
      <c r="A9" s="40">
        <v>3</v>
      </c>
      <c r="B9" s="43" t="s">
        <v>290</v>
      </c>
      <c r="C9" s="332">
        <v>15000</v>
      </c>
      <c r="D9" s="332"/>
      <c r="E9" s="42">
        <f>C9*87</f>
        <v>1305000</v>
      </c>
      <c r="F9" s="42"/>
      <c r="G9" s="440">
        <v>4850</v>
      </c>
      <c r="H9" s="461"/>
      <c r="I9" s="510">
        <f t="shared" si="0"/>
        <v>4850</v>
      </c>
      <c r="J9" s="540">
        <f t="shared" si="1"/>
        <v>10150</v>
      </c>
      <c r="K9" s="42" t="s">
        <v>579</v>
      </c>
      <c r="L9" s="42" t="s">
        <v>580</v>
      </c>
      <c r="M9" s="202" t="s">
        <v>493</v>
      </c>
      <c r="N9" s="62"/>
    </row>
    <row r="10" spans="1:14" ht="15.5" x14ac:dyDescent="0.35">
      <c r="A10" s="630" t="s">
        <v>15</v>
      </c>
      <c r="B10" s="631"/>
      <c r="C10" s="67">
        <f>SUM(C7:C9)</f>
        <v>36193</v>
      </c>
      <c r="D10" s="75"/>
      <c r="E10" s="54">
        <f>SUM(E7:E9)</f>
        <v>2713791</v>
      </c>
      <c r="F10" s="343"/>
      <c r="G10" s="441"/>
      <c r="H10" s="464"/>
      <c r="I10" s="441">
        <f>SUM(I7:I9)</f>
        <v>20621.784274999998</v>
      </c>
      <c r="J10" s="541">
        <f>C10-I10</f>
        <v>15571.215725000002</v>
      </c>
      <c r="K10" s="343"/>
      <c r="L10" s="343"/>
      <c r="M10" s="46"/>
      <c r="N10" s="46"/>
    </row>
  </sheetData>
  <mergeCells count="8">
    <mergeCell ref="A1:N1"/>
    <mergeCell ref="A10:B10"/>
    <mergeCell ref="N3:N4"/>
    <mergeCell ref="B6:M6"/>
    <mergeCell ref="B2:E2"/>
    <mergeCell ref="A3:A4"/>
    <mergeCell ref="B3:B4"/>
    <mergeCell ref="M3:M4"/>
  </mergeCells>
  <conditionalFormatting sqref="J7:J10">
    <cfRule type="cellIs" dxfId="20" priority="1" operator="lessThan">
      <formula>0</formula>
    </cfRule>
    <cfRule type="cellIs" dxfId="19" priority="2" operator="greaterThan">
      <formula>0</formula>
    </cfRule>
  </conditionalFormatting>
  <pageMargins left="0.7" right="0.7" top="0.75" bottom="0.75" header="0.3" footer="0.3"/>
  <pageSetup paperSize="9" scale="7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showGridLines="0" topLeftCell="E1" zoomScaleNormal="100" workbookViewId="0">
      <selection activeCell="K6" sqref="K6"/>
    </sheetView>
  </sheetViews>
  <sheetFormatPr defaultColWidth="9.1796875" defaultRowHeight="13" x14ac:dyDescent="0.3"/>
  <cols>
    <col min="1" max="1" width="9.1796875" style="153"/>
    <col min="2" max="2" width="42.7265625" style="153" customWidth="1"/>
    <col min="3" max="3" width="7.81640625" style="153" customWidth="1"/>
    <col min="4" max="4" width="9.1796875" style="153"/>
    <col min="5" max="6" width="10.54296875" style="153" customWidth="1"/>
    <col min="7" max="7" width="23" style="153" customWidth="1"/>
    <col min="8" max="8" width="25.81640625" style="153" customWidth="1"/>
    <col min="9" max="9" width="17.54296875" style="153" customWidth="1"/>
    <col min="10" max="10" width="17.54296875" style="399" customWidth="1"/>
    <col min="11" max="15" width="17.54296875" style="411" customWidth="1"/>
    <col min="16" max="16" width="20.1796875" style="153" customWidth="1"/>
    <col min="17" max="17" width="21.26953125" style="153" customWidth="1"/>
    <col min="18" max="18" width="39.1796875" style="153" customWidth="1"/>
    <col min="19" max="16384" width="9.1796875" style="153"/>
  </cols>
  <sheetData>
    <row r="1" spans="1:18" ht="25.5" customHeight="1" x14ac:dyDescent="0.3">
      <c r="A1" s="647" t="s">
        <v>345</v>
      </c>
      <c r="B1" s="648"/>
      <c r="C1" s="648"/>
      <c r="D1" s="648"/>
      <c r="E1" s="648"/>
      <c r="F1" s="648"/>
      <c r="G1" s="648"/>
      <c r="H1" s="648"/>
      <c r="I1" s="648"/>
      <c r="J1" s="648"/>
      <c r="K1" s="648"/>
      <c r="L1" s="648"/>
      <c r="M1" s="648"/>
      <c r="N1" s="648"/>
      <c r="O1" s="648"/>
      <c r="P1" s="648"/>
      <c r="Q1" s="648"/>
      <c r="R1" s="648"/>
    </row>
    <row r="2" spans="1:18" s="316" customFormat="1" ht="25.5" customHeight="1" x14ac:dyDescent="0.3">
      <c r="A2" s="315" t="s">
        <v>0</v>
      </c>
      <c r="B2" s="641" t="s">
        <v>330</v>
      </c>
      <c r="C2" s="642"/>
      <c r="D2" s="642"/>
      <c r="E2" s="642"/>
      <c r="F2" s="642"/>
      <c r="G2" s="642"/>
      <c r="H2" s="642"/>
      <c r="I2" s="642"/>
      <c r="J2" s="642"/>
      <c r="K2" s="642"/>
      <c r="L2" s="642"/>
      <c r="M2" s="642"/>
      <c r="N2" s="642"/>
      <c r="O2" s="642"/>
      <c r="P2" s="642"/>
      <c r="Q2" s="642"/>
      <c r="R2" s="642"/>
    </row>
    <row r="3" spans="1:18" s="316" customFormat="1" ht="65" x14ac:dyDescent="0.3">
      <c r="A3" s="317" t="s">
        <v>28</v>
      </c>
      <c r="B3" s="318" t="s">
        <v>29</v>
      </c>
      <c r="C3" s="318" t="s">
        <v>30</v>
      </c>
      <c r="D3" s="319" t="s">
        <v>31</v>
      </c>
      <c r="E3" s="319" t="s">
        <v>336</v>
      </c>
      <c r="F3" s="319" t="s">
        <v>337</v>
      </c>
      <c r="G3" s="319" t="s">
        <v>495</v>
      </c>
      <c r="H3" s="319" t="s">
        <v>497</v>
      </c>
      <c r="I3" s="319" t="s">
        <v>341</v>
      </c>
      <c r="J3" s="390" t="s">
        <v>556</v>
      </c>
      <c r="K3" s="405" t="s">
        <v>557</v>
      </c>
      <c r="L3" s="508" t="s">
        <v>714</v>
      </c>
      <c r="M3" s="573" t="s">
        <v>766</v>
      </c>
      <c r="N3" s="239" t="s">
        <v>718</v>
      </c>
      <c r="O3" s="437" t="s">
        <v>721</v>
      </c>
      <c r="P3" s="319" t="s">
        <v>555</v>
      </c>
      <c r="Q3" s="319" t="s">
        <v>526</v>
      </c>
      <c r="R3" s="319" t="s">
        <v>6</v>
      </c>
    </row>
    <row r="4" spans="1:18" ht="29.25" customHeight="1" x14ac:dyDescent="0.3">
      <c r="A4" s="150">
        <v>1</v>
      </c>
      <c r="B4" s="150" t="s">
        <v>32</v>
      </c>
      <c r="C4" s="152" t="s">
        <v>33</v>
      </c>
      <c r="D4" s="152"/>
      <c r="E4" s="152"/>
      <c r="F4" s="152"/>
      <c r="G4" s="152"/>
      <c r="H4" s="156"/>
      <c r="I4" s="157"/>
      <c r="J4" s="391"/>
      <c r="K4" s="406"/>
      <c r="L4" s="406"/>
      <c r="M4" s="406"/>
      <c r="N4" s="406"/>
      <c r="O4" s="406"/>
      <c r="P4" s="157"/>
      <c r="Q4" s="157"/>
      <c r="R4" s="158" t="s">
        <v>325</v>
      </c>
    </row>
    <row r="5" spans="1:18" ht="33.75" customHeight="1" x14ac:dyDescent="0.3">
      <c r="A5" s="150">
        <v>2</v>
      </c>
      <c r="B5" s="150" t="s">
        <v>34</v>
      </c>
      <c r="C5" s="152" t="s">
        <v>35</v>
      </c>
      <c r="D5" s="152"/>
      <c r="E5" s="152"/>
      <c r="F5" s="152"/>
      <c r="G5" s="152"/>
      <c r="H5" s="156"/>
      <c r="I5" s="157"/>
      <c r="J5" s="391"/>
      <c r="K5" s="406"/>
      <c r="L5" s="406"/>
      <c r="M5" s="406"/>
      <c r="N5" s="406"/>
      <c r="O5" s="406"/>
      <c r="P5" s="157"/>
      <c r="Q5" s="157"/>
      <c r="R5" s="158" t="s">
        <v>325</v>
      </c>
    </row>
    <row r="6" spans="1:18" ht="49.5" customHeight="1" x14ac:dyDescent="0.3">
      <c r="A6" s="150">
        <v>3</v>
      </c>
      <c r="B6" s="150" t="s">
        <v>36</v>
      </c>
      <c r="C6" s="152" t="s">
        <v>37</v>
      </c>
      <c r="D6" s="203">
        <v>130</v>
      </c>
      <c r="E6" s="152">
        <v>600</v>
      </c>
      <c r="F6" s="152">
        <v>450</v>
      </c>
      <c r="G6" s="159">
        <f>E6*130</f>
        <v>78000</v>
      </c>
      <c r="H6" s="156">
        <f>E6*10+ F6*120</f>
        <v>60000</v>
      </c>
      <c r="I6" s="160">
        <f>H6*87</f>
        <v>5220000</v>
      </c>
      <c r="J6" s="392"/>
      <c r="K6" s="407">
        <f>162*600</f>
        <v>97200</v>
      </c>
      <c r="L6" s="407"/>
      <c r="M6" s="407"/>
      <c r="N6" s="406">
        <f>J6*0.27+K6+L6+M6</f>
        <v>97200</v>
      </c>
      <c r="O6" s="406">
        <f t="shared" ref="O6:O16" si="0">G6-N6</f>
        <v>-19200</v>
      </c>
      <c r="P6" s="160"/>
      <c r="Q6" s="160"/>
      <c r="R6" s="161" t="s">
        <v>496</v>
      </c>
    </row>
    <row r="7" spans="1:18" ht="26" x14ac:dyDescent="0.3">
      <c r="A7" s="150">
        <v>4</v>
      </c>
      <c r="B7" s="151" t="s">
        <v>344</v>
      </c>
      <c r="C7" s="152" t="s">
        <v>37</v>
      </c>
      <c r="D7" s="152">
        <v>130</v>
      </c>
      <c r="E7" s="152">
        <v>150</v>
      </c>
      <c r="F7" s="152">
        <v>200</v>
      </c>
      <c r="G7" s="159">
        <f>E7*130</f>
        <v>19500</v>
      </c>
      <c r="H7" s="156">
        <f>E7*10 + F7*120</f>
        <v>25500</v>
      </c>
      <c r="I7" s="160">
        <f>H7*87</f>
        <v>2218500</v>
      </c>
      <c r="J7" s="392"/>
      <c r="K7" s="407"/>
      <c r="L7" s="407">
        <v>15000</v>
      </c>
      <c r="M7" s="407"/>
      <c r="N7" s="406">
        <f t="shared" ref="N7:N10" si="1">J7*0.27+K7+L7+M7</f>
        <v>15000</v>
      </c>
      <c r="O7" s="406">
        <f t="shared" si="0"/>
        <v>4500</v>
      </c>
      <c r="P7" s="160"/>
      <c r="Q7" s="160"/>
      <c r="R7" s="161" t="s">
        <v>498</v>
      </c>
    </row>
    <row r="8" spans="1:18" ht="65" x14ac:dyDescent="0.3">
      <c r="A8" s="150">
        <v>5</v>
      </c>
      <c r="B8" s="151" t="s">
        <v>343</v>
      </c>
      <c r="C8" s="152" t="s">
        <v>37</v>
      </c>
      <c r="D8" s="152">
        <v>130</v>
      </c>
      <c r="E8" s="152">
        <v>1750</v>
      </c>
      <c r="F8" s="152">
        <v>1000</v>
      </c>
      <c r="G8" s="159">
        <f>E8*130</f>
        <v>227500</v>
      </c>
      <c r="H8" s="156">
        <f>E8*10 + F8*120</f>
        <v>137500</v>
      </c>
      <c r="I8" s="160">
        <f>H8*87</f>
        <v>11962500</v>
      </c>
      <c r="J8" s="392"/>
      <c r="K8" s="407"/>
      <c r="L8" s="407">
        <f>36113+4750+130200</f>
        <v>171063</v>
      </c>
      <c r="M8" s="407"/>
      <c r="N8" s="406">
        <f t="shared" si="1"/>
        <v>171063</v>
      </c>
      <c r="O8" s="406">
        <f t="shared" si="0"/>
        <v>56437</v>
      </c>
      <c r="P8" s="160"/>
      <c r="Q8" s="509" t="s">
        <v>716</v>
      </c>
      <c r="R8" s="161" t="s">
        <v>365</v>
      </c>
    </row>
    <row r="9" spans="1:18" ht="34.5" customHeight="1" x14ac:dyDescent="0.3">
      <c r="A9" s="150">
        <v>6</v>
      </c>
      <c r="B9" s="150" t="s">
        <v>368</v>
      </c>
      <c r="C9" s="152" t="s">
        <v>369</v>
      </c>
      <c r="D9" s="152"/>
      <c r="E9" s="152"/>
      <c r="F9" s="152"/>
      <c r="G9" s="159">
        <v>18000</v>
      </c>
      <c r="H9" s="159">
        <v>18000</v>
      </c>
      <c r="I9" s="160">
        <f>H9*87</f>
        <v>1566000</v>
      </c>
      <c r="J9" s="392"/>
      <c r="K9" s="407"/>
      <c r="L9" s="407">
        <v>10000</v>
      </c>
      <c r="M9" s="407"/>
      <c r="N9" s="406">
        <f t="shared" si="1"/>
        <v>10000</v>
      </c>
      <c r="O9" s="406">
        <f t="shared" si="0"/>
        <v>8000</v>
      </c>
      <c r="P9" s="160"/>
      <c r="Q9" s="160"/>
      <c r="R9" s="161" t="s">
        <v>13</v>
      </c>
    </row>
    <row r="10" spans="1:18" ht="33.75" customHeight="1" x14ac:dyDescent="0.3">
      <c r="A10" s="162">
        <v>7</v>
      </c>
      <c r="B10" s="335" t="s">
        <v>370</v>
      </c>
      <c r="C10" s="152" t="s">
        <v>37</v>
      </c>
      <c r="D10" s="152">
        <v>45</v>
      </c>
      <c r="E10" s="152">
        <v>25</v>
      </c>
      <c r="F10" s="152"/>
      <c r="G10" s="159">
        <f>45*25*15</f>
        <v>16875</v>
      </c>
      <c r="H10" s="163">
        <f>45*25*15</f>
        <v>16875</v>
      </c>
      <c r="I10" s="160">
        <f>H10*87</f>
        <v>1468125</v>
      </c>
      <c r="J10" s="392"/>
      <c r="K10" s="407"/>
      <c r="L10" s="407">
        <v>16875</v>
      </c>
      <c r="M10" s="407"/>
      <c r="N10" s="406">
        <f t="shared" si="1"/>
        <v>16875</v>
      </c>
      <c r="O10" s="406">
        <f t="shared" si="0"/>
        <v>0</v>
      </c>
      <c r="P10" s="160"/>
      <c r="Q10" s="160"/>
      <c r="R10" s="161" t="s">
        <v>371</v>
      </c>
    </row>
    <row r="11" spans="1:18" ht="30.75" customHeight="1" x14ac:dyDescent="0.3">
      <c r="A11" s="657" t="s">
        <v>15</v>
      </c>
      <c r="B11" s="658"/>
      <c r="C11" s="658"/>
      <c r="D11" s="658"/>
      <c r="E11" s="658"/>
      <c r="F11" s="658"/>
      <c r="G11" s="164">
        <f>SUM(G6:G10)</f>
        <v>359875</v>
      </c>
      <c r="H11" s="165">
        <f>SUM(H6:H10)</f>
        <v>257875</v>
      </c>
      <c r="I11" s="166">
        <f>SUM(I4:I10)</f>
        <v>22435125</v>
      </c>
      <c r="J11" s="393"/>
      <c r="K11" s="164"/>
      <c r="L11" s="164"/>
      <c r="M11" s="164"/>
      <c r="N11" s="523">
        <f>SUM(N6:N10)</f>
        <v>310138</v>
      </c>
      <c r="O11" s="523">
        <f>G11-N11</f>
        <v>49737</v>
      </c>
      <c r="P11" s="166"/>
      <c r="Q11" s="166"/>
      <c r="R11" s="167"/>
    </row>
    <row r="12" spans="1:18" x14ac:dyDescent="0.3">
      <c r="A12" s="154" t="s">
        <v>23</v>
      </c>
      <c r="B12" s="150"/>
      <c r="C12" s="150"/>
      <c r="D12" s="150"/>
      <c r="E12" s="150"/>
      <c r="F12" s="150"/>
      <c r="G12" s="150"/>
      <c r="H12" s="150"/>
      <c r="I12" s="150"/>
      <c r="J12" s="394"/>
      <c r="K12" s="408"/>
      <c r="L12" s="408"/>
      <c r="M12" s="408"/>
      <c r="N12" s="406"/>
      <c r="O12" s="406"/>
      <c r="P12" s="150"/>
      <c r="Q12" s="150"/>
      <c r="R12" s="167"/>
    </row>
    <row r="13" spans="1:18" x14ac:dyDescent="0.3">
      <c r="A13" s="155" t="s">
        <v>28</v>
      </c>
      <c r="B13" s="149" t="s">
        <v>29</v>
      </c>
      <c r="C13" s="149" t="s">
        <v>30</v>
      </c>
      <c r="D13" s="149" t="s">
        <v>297</v>
      </c>
      <c r="E13" s="643" t="s">
        <v>291</v>
      </c>
      <c r="F13" s="644"/>
      <c r="G13" s="168"/>
      <c r="H13" s="149"/>
      <c r="I13" s="149"/>
      <c r="J13" s="395"/>
      <c r="K13" s="409"/>
      <c r="L13" s="409"/>
      <c r="M13" s="409"/>
      <c r="N13" s="409"/>
      <c r="O13" s="409"/>
      <c r="P13" s="149"/>
      <c r="Q13" s="149"/>
      <c r="R13" s="169" t="s">
        <v>6</v>
      </c>
    </row>
    <row r="14" spans="1:18" ht="63.75" customHeight="1" x14ac:dyDescent="0.3">
      <c r="A14" s="170">
        <v>9</v>
      </c>
      <c r="B14" s="33" t="s">
        <v>38</v>
      </c>
      <c r="C14" s="152" t="s">
        <v>338</v>
      </c>
      <c r="D14" s="152">
        <v>42</v>
      </c>
      <c r="E14" s="645"/>
      <c r="F14" s="646"/>
      <c r="G14" s="156">
        <v>100000</v>
      </c>
      <c r="H14" s="156">
        <v>100000</v>
      </c>
      <c r="I14" s="171">
        <f>H14*87</f>
        <v>8700000</v>
      </c>
      <c r="J14" s="396">
        <f>113624+36573+29400</f>
        <v>179597</v>
      </c>
      <c r="K14" s="159"/>
      <c r="L14" s="574"/>
      <c r="M14" s="159"/>
      <c r="N14" s="575">
        <f>J14*0.27+K14+L14+M14</f>
        <v>48491.19</v>
      </c>
      <c r="O14" s="406">
        <f t="shared" si="0"/>
        <v>51508.81</v>
      </c>
      <c r="P14" s="401" t="s">
        <v>589</v>
      </c>
      <c r="Q14" s="401" t="s">
        <v>590</v>
      </c>
      <c r="R14" s="183" t="s">
        <v>39</v>
      </c>
    </row>
    <row r="15" spans="1:18" ht="87" customHeight="1" x14ac:dyDescent="0.3">
      <c r="A15" s="170">
        <v>10</v>
      </c>
      <c r="B15" s="33" t="s">
        <v>40</v>
      </c>
      <c r="C15" s="152" t="s">
        <v>296</v>
      </c>
      <c r="D15" s="152">
        <v>10</v>
      </c>
      <c r="E15" s="645">
        <f>10*13</f>
        <v>130</v>
      </c>
      <c r="F15" s="646"/>
      <c r="G15" s="156">
        <f>10*140*13</f>
        <v>18200</v>
      </c>
      <c r="H15" s="156">
        <f>10*140*13</f>
        <v>18200</v>
      </c>
      <c r="I15" s="171">
        <f>H15*87</f>
        <v>1583400</v>
      </c>
      <c r="J15" s="397">
        <f>12150+4050+4050</f>
        <v>20250</v>
      </c>
      <c r="K15" s="159"/>
      <c r="L15" s="574"/>
      <c r="M15" s="159"/>
      <c r="N15" s="575">
        <f t="shared" ref="N15:N16" si="2">J15*0.27+K15+L15+M15</f>
        <v>5467.5</v>
      </c>
      <c r="O15" s="406">
        <f t="shared" si="0"/>
        <v>12732.5</v>
      </c>
      <c r="P15" s="401" t="s">
        <v>906</v>
      </c>
      <c r="Q15" s="402" t="s">
        <v>905</v>
      </c>
      <c r="R15" s="151" t="s">
        <v>491</v>
      </c>
    </row>
    <row r="16" spans="1:18" ht="71.25" customHeight="1" thickBot="1" x14ac:dyDescent="0.35">
      <c r="A16" s="170">
        <v>11</v>
      </c>
      <c r="B16" s="152" t="s">
        <v>41</v>
      </c>
      <c r="C16" s="152" t="s">
        <v>366</v>
      </c>
      <c r="D16" s="184">
        <v>5</v>
      </c>
      <c r="E16" s="659">
        <v>800</v>
      </c>
      <c r="F16" s="660"/>
      <c r="G16" s="172">
        <f>5*800*140</f>
        <v>560000</v>
      </c>
      <c r="H16" s="172">
        <f>5*800*140</f>
        <v>560000</v>
      </c>
      <c r="I16" s="171">
        <f>H16*87</f>
        <v>48720000</v>
      </c>
      <c r="J16" s="396"/>
      <c r="K16" s="159">
        <f>104100+47610+43250+43250+34050</f>
        <v>272260</v>
      </c>
      <c r="L16" s="574"/>
      <c r="M16" s="159">
        <v>250000</v>
      </c>
      <c r="N16" s="575">
        <f t="shared" si="2"/>
        <v>522260</v>
      </c>
      <c r="O16" s="511">
        <f t="shared" si="0"/>
        <v>37740</v>
      </c>
      <c r="P16" s="401" t="s">
        <v>877</v>
      </c>
      <c r="Q16" s="401" t="s">
        <v>878</v>
      </c>
      <c r="R16" s="173" t="s">
        <v>452</v>
      </c>
    </row>
    <row r="17" spans="1:18" ht="34.5" customHeight="1" thickBot="1" x14ac:dyDescent="0.35">
      <c r="A17" s="661" t="s">
        <v>15</v>
      </c>
      <c r="B17" s="661"/>
      <c r="C17" s="661"/>
      <c r="D17" s="661"/>
      <c r="E17" s="661"/>
      <c r="F17" s="661"/>
      <c r="G17" s="174">
        <f>SUM(G14:G16)</f>
        <v>678200</v>
      </c>
      <c r="H17" s="175">
        <f>SUM(H14:H16)</f>
        <v>678200</v>
      </c>
      <c r="I17" s="176">
        <f>SUM(I14:I16)</f>
        <v>59003400</v>
      </c>
      <c r="J17" s="398"/>
      <c r="K17" s="410"/>
      <c r="L17" s="524"/>
      <c r="M17" s="164"/>
      <c r="N17" s="576">
        <f>SUM(N14:N16)</f>
        <v>576218.68999999994</v>
      </c>
      <c r="O17" s="525">
        <f>G17-N17</f>
        <v>101981.31000000006</v>
      </c>
      <c r="P17" s="526"/>
      <c r="Q17" s="176"/>
      <c r="R17" s="404"/>
    </row>
    <row r="18" spans="1:18" ht="29.25" customHeight="1" thickBot="1" x14ac:dyDescent="0.35">
      <c r="A18" s="655" t="s">
        <v>42</v>
      </c>
      <c r="B18" s="656"/>
      <c r="C18" s="656"/>
      <c r="D18" s="656"/>
      <c r="E18" s="656"/>
      <c r="F18" s="656"/>
      <c r="G18" s="177">
        <f>SUM(G11,G17)</f>
        <v>1038075</v>
      </c>
      <c r="H18" s="178">
        <f>SUM(H11,H17)</f>
        <v>936075</v>
      </c>
      <c r="I18" s="403">
        <f>SUM(I11,I17)</f>
        <v>81438525</v>
      </c>
      <c r="J18" s="393"/>
      <c r="K18" s="164"/>
      <c r="L18" s="527"/>
      <c r="M18" s="164"/>
      <c r="N18" s="576">
        <f>SUM(N11,N17)</f>
        <v>886356.69</v>
      </c>
      <c r="O18" s="525">
        <f>SUM(O11,O17)</f>
        <v>151718.31000000006</v>
      </c>
      <c r="P18" s="528"/>
      <c r="Q18" s="403"/>
      <c r="R18" s="167"/>
    </row>
    <row r="19" spans="1:18" ht="13.5" thickBot="1" x14ac:dyDescent="0.35"/>
    <row r="20" spans="1:18" ht="14.5" x14ac:dyDescent="0.3">
      <c r="B20" s="649" t="s">
        <v>367</v>
      </c>
      <c r="C20" s="650"/>
      <c r="D20" s="650"/>
      <c r="E20" s="650"/>
      <c r="F20" s="650"/>
      <c r="G20" s="650"/>
      <c r="H20" s="650"/>
      <c r="I20" s="651"/>
      <c r="J20" s="400"/>
      <c r="K20" s="412"/>
      <c r="L20" s="412"/>
      <c r="M20" s="412"/>
      <c r="N20" s="412"/>
      <c r="O20" s="412"/>
      <c r="P20" s="389"/>
      <c r="Q20" s="389"/>
    </row>
    <row r="21" spans="1:18" ht="15" thickBot="1" x14ac:dyDescent="0.35">
      <c r="B21" s="652"/>
      <c r="C21" s="653"/>
      <c r="D21" s="653"/>
      <c r="E21" s="653"/>
      <c r="F21" s="653"/>
      <c r="G21" s="653"/>
      <c r="H21" s="653"/>
      <c r="I21" s="654"/>
      <c r="J21" s="400"/>
      <c r="K21" s="412"/>
      <c r="L21" s="412"/>
      <c r="M21" s="412"/>
      <c r="N21" s="412"/>
      <c r="O21" s="412"/>
      <c r="P21" s="389"/>
      <c r="Q21" s="389"/>
    </row>
  </sheetData>
  <mergeCells count="10">
    <mergeCell ref="B20:I21"/>
    <mergeCell ref="A18:F18"/>
    <mergeCell ref="A11:F11"/>
    <mergeCell ref="E16:F16"/>
    <mergeCell ref="A17:F17"/>
    <mergeCell ref="B2:R2"/>
    <mergeCell ref="E13:F13"/>
    <mergeCell ref="E14:F14"/>
    <mergeCell ref="E15:F15"/>
    <mergeCell ref="A1:R1"/>
  </mergeCells>
  <conditionalFormatting sqref="O4:O18">
    <cfRule type="cellIs" dxfId="18" priority="1" operator="lessThan">
      <formula>0</formula>
    </cfRule>
    <cfRule type="cellIs" dxfId="17" priority="2" operator="greaterThan">
      <formula>0</formula>
    </cfRule>
  </conditionalFormatting>
  <pageMargins left="0.7" right="0.7" top="0.75" bottom="0.75" header="0.3" footer="0.3"/>
  <pageSetup paperSize="9" scale="8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
  <sheetViews>
    <sheetView showGridLines="0" zoomScale="85" zoomScaleNormal="85" workbookViewId="0">
      <selection activeCell="E8" sqref="E8"/>
    </sheetView>
  </sheetViews>
  <sheetFormatPr defaultRowHeight="14.5" x14ac:dyDescent="0.35"/>
  <cols>
    <col min="2" max="2" width="72.54296875" style="48" customWidth="1"/>
    <col min="3" max="3" width="14.54296875" customWidth="1"/>
    <col min="4" max="4" width="23.1796875" customWidth="1"/>
    <col min="5" max="6" width="23.1796875" style="421" customWidth="1"/>
    <col min="7" max="7" width="44.81640625" customWidth="1"/>
  </cols>
  <sheetData>
    <row r="1" spans="1:7" x14ac:dyDescent="0.35">
      <c r="A1" s="666" t="s">
        <v>346</v>
      </c>
      <c r="B1" s="666"/>
      <c r="C1" s="666"/>
      <c r="D1" s="666"/>
      <c r="E1" s="666"/>
      <c r="F1" s="666"/>
      <c r="G1" s="666"/>
    </row>
    <row r="2" spans="1:7" s="321" customFormat="1" x14ac:dyDescent="0.35">
      <c r="A2" s="667" t="s">
        <v>262</v>
      </c>
      <c r="B2" s="667"/>
      <c r="C2" s="667"/>
      <c r="D2" s="667"/>
      <c r="E2" s="512"/>
      <c r="F2" s="512"/>
      <c r="G2" s="320"/>
    </row>
    <row r="3" spans="1:7" s="321" customFormat="1" ht="15.5" x14ac:dyDescent="0.35">
      <c r="A3" s="662" t="s">
        <v>2</v>
      </c>
      <c r="B3" s="663" t="s">
        <v>3</v>
      </c>
      <c r="C3" s="322" t="s">
        <v>4</v>
      </c>
      <c r="D3" s="322" t="s">
        <v>5</v>
      </c>
      <c r="E3" s="513" t="s">
        <v>720</v>
      </c>
      <c r="F3" s="437" t="s">
        <v>721</v>
      </c>
      <c r="G3" s="323" t="s">
        <v>6</v>
      </c>
    </row>
    <row r="4" spans="1:7" s="321" customFormat="1" ht="15.5" x14ac:dyDescent="0.35">
      <c r="A4" s="662"/>
      <c r="B4" s="663"/>
      <c r="C4" s="322" t="s">
        <v>7</v>
      </c>
      <c r="D4" s="322" t="s">
        <v>8</v>
      </c>
      <c r="E4" s="514" t="s">
        <v>291</v>
      </c>
      <c r="F4" s="514"/>
      <c r="G4" s="188"/>
    </row>
    <row r="5" spans="1:7" ht="15.5" x14ac:dyDescent="0.35">
      <c r="A5" s="3"/>
      <c r="B5" s="49"/>
      <c r="C5" s="3"/>
      <c r="D5" s="3"/>
      <c r="E5" s="515"/>
      <c r="F5" s="515"/>
      <c r="G5" s="3"/>
    </row>
    <row r="6" spans="1:7" x14ac:dyDescent="0.35">
      <c r="A6" s="4" t="s">
        <v>43</v>
      </c>
      <c r="B6" s="664" t="s">
        <v>44</v>
      </c>
      <c r="C6" s="665"/>
      <c r="D6" s="665"/>
      <c r="E6" s="516"/>
      <c r="F6" s="516"/>
      <c r="G6" s="14"/>
    </row>
    <row r="7" spans="1:7" ht="36" customHeight="1" x14ac:dyDescent="0.35">
      <c r="A7" s="5">
        <v>1</v>
      </c>
      <c r="B7" s="50" t="s">
        <v>45</v>
      </c>
      <c r="C7" s="17">
        <v>200000</v>
      </c>
      <c r="D7" s="11">
        <f>C7*87</f>
        <v>17400000</v>
      </c>
      <c r="E7" s="517">
        <f>101047+26274</f>
        <v>127321</v>
      </c>
      <c r="F7" s="517">
        <f>C7-E7</f>
        <v>72679</v>
      </c>
      <c r="G7" s="72" t="s">
        <v>364</v>
      </c>
    </row>
    <row r="8" spans="1:7" ht="42.75" customHeight="1" x14ac:dyDescent="0.35">
      <c r="A8" s="5">
        <v>2</v>
      </c>
      <c r="B8" s="50" t="s">
        <v>46</v>
      </c>
      <c r="C8" s="18">
        <v>75000</v>
      </c>
      <c r="D8" s="11">
        <f>C8*87</f>
        <v>6525000</v>
      </c>
      <c r="E8" s="517"/>
      <c r="F8" s="517">
        <f>C8-E8</f>
        <v>75000</v>
      </c>
      <c r="G8" s="72" t="s">
        <v>364</v>
      </c>
    </row>
    <row r="9" spans="1:7" ht="15.5" x14ac:dyDescent="0.35">
      <c r="A9" s="5"/>
      <c r="B9" s="50"/>
      <c r="C9" s="19"/>
      <c r="D9" s="12"/>
      <c r="E9" s="518"/>
      <c r="F9" s="518"/>
      <c r="G9" s="14"/>
    </row>
    <row r="10" spans="1:7" ht="15.5" x14ac:dyDescent="0.35">
      <c r="A10" s="618" t="s">
        <v>15</v>
      </c>
      <c r="B10" s="619"/>
      <c r="C10" s="66">
        <f>SUM(C7:C8)</f>
        <v>275000</v>
      </c>
      <c r="D10" s="53">
        <f>SUM(D7:D8)</f>
        <v>23925000</v>
      </c>
      <c r="E10" s="519">
        <f>SUM(E7:E9)</f>
        <v>127321</v>
      </c>
      <c r="F10" s="519">
        <f>C10-E10</f>
        <v>147679</v>
      </c>
      <c r="G10" s="13"/>
    </row>
  </sheetData>
  <mergeCells count="6">
    <mergeCell ref="A10:B10"/>
    <mergeCell ref="A3:A4"/>
    <mergeCell ref="B3:B4"/>
    <mergeCell ref="B6:D6"/>
    <mergeCell ref="A1:G1"/>
    <mergeCell ref="A2:D2"/>
  </mergeCells>
  <conditionalFormatting sqref="F7:F10">
    <cfRule type="cellIs" dxfId="16" priority="1" operator="lessThan">
      <formula>0</formula>
    </cfRule>
    <cfRule type="cellIs" dxfId="15" priority="2" operator="greaterThan">
      <formula>0</formula>
    </cfRule>
  </conditionalFormatting>
  <pageMargins left="0.7" right="0.7" top="0.75" bottom="0.75" header="0.3" footer="0.3"/>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2"/>
  <sheetViews>
    <sheetView showGridLines="0" zoomScale="85" zoomScaleNormal="85" workbookViewId="0">
      <selection activeCell="E10" sqref="E10"/>
    </sheetView>
  </sheetViews>
  <sheetFormatPr defaultRowHeight="14.5" x14ac:dyDescent="0.35"/>
  <cols>
    <col min="2" max="2" width="67.54296875" style="48" customWidth="1"/>
    <col min="3" max="4" width="26.453125" customWidth="1"/>
    <col min="5" max="6" width="26.453125" style="421" customWidth="1"/>
    <col min="7" max="7" width="51.1796875" customWidth="1"/>
  </cols>
  <sheetData>
    <row r="1" spans="1:7" ht="33" customHeight="1" x14ac:dyDescent="0.35">
      <c r="A1" s="673" t="s">
        <v>347</v>
      </c>
      <c r="B1" s="673"/>
      <c r="C1" s="673"/>
      <c r="D1" s="673"/>
      <c r="E1" s="673"/>
      <c r="F1" s="673"/>
      <c r="G1" s="673"/>
    </row>
    <row r="2" spans="1:7" s="324" customFormat="1" ht="28.5" customHeight="1" x14ac:dyDescent="0.35">
      <c r="A2" s="674" t="s">
        <v>263</v>
      </c>
      <c r="B2" s="674"/>
      <c r="C2" s="674"/>
      <c r="D2" s="674"/>
      <c r="E2" s="674"/>
      <c r="F2" s="674"/>
      <c r="G2" s="674"/>
    </row>
    <row r="3" spans="1:7" s="324" customFormat="1" ht="25.5" customHeight="1" x14ac:dyDescent="0.35">
      <c r="A3" s="668" t="s">
        <v>2</v>
      </c>
      <c r="B3" s="670" t="s">
        <v>3</v>
      </c>
      <c r="C3" s="123" t="s">
        <v>4</v>
      </c>
      <c r="D3" s="123" t="s">
        <v>5</v>
      </c>
      <c r="E3" s="437" t="s">
        <v>719</v>
      </c>
      <c r="F3" s="437" t="s">
        <v>721</v>
      </c>
      <c r="G3" s="187" t="s">
        <v>6</v>
      </c>
    </row>
    <row r="4" spans="1:7" s="324" customFormat="1" ht="26.25" customHeight="1" x14ac:dyDescent="0.35">
      <c r="A4" s="669"/>
      <c r="B4" s="663"/>
      <c r="C4" s="82" t="s">
        <v>7</v>
      </c>
      <c r="D4" s="82" t="s">
        <v>8</v>
      </c>
      <c r="E4" s="520" t="s">
        <v>7</v>
      </c>
      <c r="F4" s="520"/>
      <c r="G4" s="188"/>
    </row>
    <row r="5" spans="1:7" s="189" customFormat="1" ht="15.5" x14ac:dyDescent="0.35">
      <c r="A5" s="190"/>
      <c r="B5" s="49"/>
      <c r="C5" s="190"/>
      <c r="D5" s="190"/>
      <c r="E5" s="521"/>
      <c r="F5" s="521"/>
      <c r="G5" s="190"/>
    </row>
    <row r="6" spans="1:7" ht="15.5" x14ac:dyDescent="0.35">
      <c r="A6" s="2" t="s">
        <v>47</v>
      </c>
      <c r="B6" s="671" t="s">
        <v>48</v>
      </c>
      <c r="C6" s="672"/>
      <c r="D6" s="672"/>
      <c r="E6" s="672"/>
      <c r="F6" s="672"/>
      <c r="G6" s="672"/>
    </row>
    <row r="7" spans="1:7" ht="73.5" customHeight="1" x14ac:dyDescent="0.35">
      <c r="A7" s="191">
        <v>1</v>
      </c>
      <c r="B7" s="51" t="s">
        <v>49</v>
      </c>
      <c r="C7" s="192">
        <f>17*50*150</f>
        <v>127500</v>
      </c>
      <c r="D7" s="193">
        <f>C7*87</f>
        <v>11092500</v>
      </c>
      <c r="E7" s="192">
        <f>3300+16357+20058.5+23710.5+23331</f>
        <v>86757</v>
      </c>
      <c r="F7" s="192">
        <f>C7-E7</f>
        <v>40743</v>
      </c>
      <c r="G7" s="333" t="s">
        <v>499</v>
      </c>
    </row>
    <row r="8" spans="1:7" ht="29" x14ac:dyDescent="0.35">
      <c r="A8" s="191">
        <v>2</v>
      </c>
      <c r="B8" s="51" t="s">
        <v>50</v>
      </c>
      <c r="C8" s="192">
        <v>60000</v>
      </c>
      <c r="D8" s="193">
        <f>C8*87</f>
        <v>5220000</v>
      </c>
      <c r="E8" s="192">
        <f>60500+11150+14910</f>
        <v>86560</v>
      </c>
      <c r="F8" s="192">
        <f t="shared" ref="F8:F10" si="0">C8-E8</f>
        <v>-26560</v>
      </c>
      <c r="G8" s="194" t="s">
        <v>298</v>
      </c>
    </row>
    <row r="9" spans="1:7" ht="38.25" customHeight="1" x14ac:dyDescent="0.35">
      <c r="A9" s="191">
        <v>3</v>
      </c>
      <c r="B9" s="50" t="s">
        <v>51</v>
      </c>
      <c r="C9" s="192">
        <f>3000*60 + 4500*120</f>
        <v>720000</v>
      </c>
      <c r="D9" s="193">
        <f>C9*87</f>
        <v>62640000</v>
      </c>
      <c r="E9" s="192">
        <f>508245+9136</f>
        <v>517381</v>
      </c>
      <c r="F9" s="192">
        <f t="shared" si="0"/>
        <v>202619</v>
      </c>
      <c r="G9" s="194" t="s">
        <v>500</v>
      </c>
    </row>
    <row r="10" spans="1:7" ht="27.75" customHeight="1" x14ac:dyDescent="0.35">
      <c r="A10" s="191">
        <v>4</v>
      </c>
      <c r="B10" s="50" t="s">
        <v>52</v>
      </c>
      <c r="C10" s="192">
        <v>10000</v>
      </c>
      <c r="D10" s="193">
        <f>C10*87</f>
        <v>870000</v>
      </c>
      <c r="E10" s="192">
        <f>1650</f>
        <v>1650</v>
      </c>
      <c r="F10" s="192">
        <f t="shared" si="0"/>
        <v>8350</v>
      </c>
      <c r="G10" s="195" t="s">
        <v>501</v>
      </c>
    </row>
    <row r="11" spans="1:7" ht="15.5" x14ac:dyDescent="0.35">
      <c r="A11" s="5"/>
      <c r="B11" s="50"/>
      <c r="C11" s="57"/>
      <c r="D11" s="58"/>
      <c r="E11" s="57"/>
      <c r="F11" s="57"/>
      <c r="G11" s="16"/>
    </row>
    <row r="12" spans="1:7" ht="15.5" x14ac:dyDescent="0.35">
      <c r="A12" s="618" t="s">
        <v>15</v>
      </c>
      <c r="B12" s="619"/>
      <c r="C12" s="68">
        <f>SUM(C7:C10)</f>
        <v>917500</v>
      </c>
      <c r="D12" s="6">
        <f>SUM(D7:D10)</f>
        <v>79822500</v>
      </c>
      <c r="E12" s="522">
        <f>SUM(E7:E10)</f>
        <v>692348</v>
      </c>
      <c r="F12" s="522">
        <f>C12-E12</f>
        <v>225152</v>
      </c>
      <c r="G12" s="13"/>
    </row>
  </sheetData>
  <mergeCells count="6">
    <mergeCell ref="A12:B12"/>
    <mergeCell ref="A3:A4"/>
    <mergeCell ref="B3:B4"/>
    <mergeCell ref="B6:G6"/>
    <mergeCell ref="A1:G1"/>
    <mergeCell ref="A2:G2"/>
  </mergeCells>
  <conditionalFormatting sqref="F7:F10">
    <cfRule type="cellIs" dxfId="14" priority="1" operator="lessThan">
      <formula>0</formula>
    </cfRule>
    <cfRule type="cellIs" dxfId="13" priority="2" operator="greaterThan">
      <formula>0</formula>
    </cfRule>
  </conditionalFormatting>
  <pageMargins left="0.7" right="0.7" top="0.75" bottom="0.75" header="0.3" footer="0.3"/>
  <pageSetup paperSize="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4"/>
  <sheetViews>
    <sheetView zoomScale="69" zoomScaleNormal="69" workbookViewId="0">
      <pane ySplit="3" topLeftCell="A62" activePane="bottomLeft" state="frozen"/>
      <selection pane="bottomLeft" activeCell="C2" sqref="C2:G2"/>
    </sheetView>
  </sheetViews>
  <sheetFormatPr defaultRowHeight="14.5" x14ac:dyDescent="0.35"/>
  <cols>
    <col min="1" max="1" width="8.7265625" style="9"/>
    <col min="2" max="2" width="16.81640625" hidden="1" customWidth="1"/>
    <col min="3" max="3" width="19.453125" style="24" customWidth="1"/>
    <col min="4" max="4" width="62.7265625" style="201" customWidth="1"/>
    <col min="5" max="5" width="18.81640625" customWidth="1"/>
    <col min="6" max="6" width="16.453125" customWidth="1"/>
    <col min="7" max="7" width="26.26953125" customWidth="1"/>
    <col min="8" max="8" width="18.26953125" style="430" customWidth="1"/>
    <col min="9" max="9" width="19.81640625" style="421" customWidth="1"/>
    <col min="10" max="10" width="19.81640625" style="492" customWidth="1"/>
    <col min="11" max="15" width="26.26953125" style="421" customWidth="1"/>
    <col min="16" max="17" width="26.26953125" style="24" customWidth="1"/>
    <col min="18" max="18" width="40.26953125" customWidth="1"/>
    <col min="19" max="19" width="16.453125" style="55" customWidth="1"/>
    <col min="20" max="20" width="17.7265625" customWidth="1"/>
  </cols>
  <sheetData>
    <row r="1" spans="1:19" ht="29.5" customHeight="1" x14ac:dyDescent="0.35">
      <c r="A1" s="628" t="s">
        <v>348</v>
      </c>
      <c r="B1" s="629"/>
      <c r="C1" s="629"/>
      <c r="D1" s="629"/>
      <c r="E1" s="629"/>
      <c r="F1" s="629"/>
      <c r="G1" s="629"/>
      <c r="H1" s="629"/>
      <c r="I1" s="629"/>
      <c r="J1" s="629"/>
      <c r="K1" s="629"/>
      <c r="L1" s="629"/>
      <c r="M1" s="629"/>
      <c r="N1" s="629"/>
      <c r="O1" s="629"/>
      <c r="P1" s="629"/>
      <c r="Q1" s="629"/>
      <c r="R1" s="629"/>
      <c r="S1" s="629"/>
    </row>
    <row r="2" spans="1:19" ht="45" customHeight="1" x14ac:dyDescent="0.35">
      <c r="A2" s="212" t="s">
        <v>53</v>
      </c>
      <c r="B2" s="281"/>
      <c r="C2" s="684" t="s">
        <v>54</v>
      </c>
      <c r="D2" s="667"/>
      <c r="E2" s="667"/>
      <c r="F2" s="667"/>
      <c r="G2" s="685"/>
      <c r="H2" s="423"/>
      <c r="I2" s="414"/>
      <c r="J2" s="485"/>
      <c r="K2" s="414"/>
      <c r="L2" s="414"/>
      <c r="M2" s="414"/>
      <c r="N2" s="414"/>
      <c r="O2" s="414"/>
      <c r="P2" s="291"/>
      <c r="Q2" s="291"/>
      <c r="R2" s="291"/>
      <c r="S2" s="336"/>
    </row>
    <row r="3" spans="1:19" ht="29" x14ac:dyDescent="0.35">
      <c r="A3" s="240" t="s">
        <v>2</v>
      </c>
      <c r="B3" s="240" t="s">
        <v>278</v>
      </c>
      <c r="C3" s="241" t="s">
        <v>55</v>
      </c>
      <c r="D3" s="241" t="s">
        <v>56</v>
      </c>
      <c r="E3" s="241" t="s">
        <v>57</v>
      </c>
      <c r="F3" s="241" t="s">
        <v>58</v>
      </c>
      <c r="G3" s="241" t="s">
        <v>341</v>
      </c>
      <c r="H3" s="354" t="s">
        <v>678</v>
      </c>
      <c r="I3" s="242" t="s">
        <v>677</v>
      </c>
      <c r="J3" s="475" t="s">
        <v>676</v>
      </c>
      <c r="K3" s="242" t="s">
        <v>600</v>
      </c>
      <c r="L3" s="506" t="s">
        <v>714</v>
      </c>
      <c r="M3" s="506" t="s">
        <v>767</v>
      </c>
      <c r="N3" s="504" t="s">
        <v>718</v>
      </c>
      <c r="O3" s="437" t="s">
        <v>721</v>
      </c>
      <c r="P3" s="292" t="s">
        <v>555</v>
      </c>
      <c r="Q3" s="292" t="s">
        <v>562</v>
      </c>
      <c r="R3" s="292" t="s">
        <v>6</v>
      </c>
      <c r="S3" s="242" t="s">
        <v>525</v>
      </c>
    </row>
    <row r="4" spans="1:19" ht="71.25" customHeight="1" x14ac:dyDescent="0.35">
      <c r="A4" s="283">
        <v>1</v>
      </c>
      <c r="B4" s="283">
        <v>301073001</v>
      </c>
      <c r="C4" s="196" t="s">
        <v>59</v>
      </c>
      <c r="D4" s="196" t="s">
        <v>502</v>
      </c>
      <c r="E4" s="205" t="s">
        <v>60</v>
      </c>
      <c r="F4" s="294">
        <v>25000</v>
      </c>
      <c r="G4" s="295">
        <f t="shared" ref="G4:G36" si="0">F4*87</f>
        <v>2175000</v>
      </c>
      <c r="H4" s="424">
        <f>6200+4583+3209+4333</f>
        <v>18325</v>
      </c>
      <c r="I4" s="415"/>
      <c r="J4" s="486"/>
      <c r="K4" s="415">
        <f>7898+10530</f>
        <v>18428</v>
      </c>
      <c r="L4" s="415">
        <v>20670</v>
      </c>
      <c r="M4" s="415"/>
      <c r="N4" s="415">
        <f>H4*0.27+I4+J4*0.01149+K4+L4+M4</f>
        <v>44045.75</v>
      </c>
      <c r="O4" s="415">
        <f>F4-N4</f>
        <v>-19045.75</v>
      </c>
      <c r="P4" s="443" t="s">
        <v>860</v>
      </c>
      <c r="Q4" s="443" t="s">
        <v>861</v>
      </c>
      <c r="R4" s="296" t="s">
        <v>13</v>
      </c>
      <c r="S4" s="297"/>
    </row>
    <row r="5" spans="1:19" ht="58" customHeight="1" x14ac:dyDescent="0.35">
      <c r="A5" s="205">
        <v>2</v>
      </c>
      <c r="B5" s="205">
        <v>302302001</v>
      </c>
      <c r="C5" s="197" t="s">
        <v>61</v>
      </c>
      <c r="D5" s="197" t="s">
        <v>62</v>
      </c>
      <c r="E5" s="205" t="s">
        <v>63</v>
      </c>
      <c r="F5" s="298">
        <v>99918</v>
      </c>
      <c r="G5" s="295">
        <f t="shared" si="0"/>
        <v>8692866</v>
      </c>
      <c r="H5" s="425"/>
      <c r="I5" s="416"/>
      <c r="J5" s="487"/>
      <c r="K5" s="416">
        <v>97058.98</v>
      </c>
      <c r="L5" s="416"/>
      <c r="M5" s="415"/>
      <c r="N5" s="415">
        <f t="shared" ref="N5:N61" si="1">H5*0.27+I5+J5*0.01149+K5+L5+M5</f>
        <v>97058.98</v>
      </c>
      <c r="O5" s="415">
        <f t="shared" ref="O5:O61" si="2">F5-N5</f>
        <v>2859.0200000000041</v>
      </c>
      <c r="P5" s="444" t="s">
        <v>635</v>
      </c>
      <c r="Q5" s="444" t="s">
        <v>636</v>
      </c>
      <c r="R5" s="299" t="s">
        <v>536</v>
      </c>
      <c r="S5" s="250"/>
    </row>
    <row r="6" spans="1:19" ht="15.5" x14ac:dyDescent="0.35">
      <c r="A6" s="283">
        <v>3</v>
      </c>
      <c r="B6" s="205"/>
      <c r="C6" s="197" t="s">
        <v>265</v>
      </c>
      <c r="D6" s="197" t="s">
        <v>503</v>
      </c>
      <c r="E6" s="205"/>
      <c r="F6" s="300">
        <v>5000</v>
      </c>
      <c r="G6" s="295">
        <f t="shared" si="0"/>
        <v>435000</v>
      </c>
      <c r="H6" s="426"/>
      <c r="I6" s="417"/>
      <c r="J6" s="488"/>
      <c r="K6" s="417"/>
      <c r="L6" s="417"/>
      <c r="M6" s="415"/>
      <c r="N6" s="415">
        <f t="shared" si="1"/>
        <v>0</v>
      </c>
      <c r="O6" s="415">
        <f t="shared" si="2"/>
        <v>5000</v>
      </c>
      <c r="P6" s="445"/>
      <c r="Q6" s="445"/>
      <c r="R6" s="301"/>
      <c r="S6" s="306"/>
    </row>
    <row r="7" spans="1:19" ht="61.5" customHeight="1" x14ac:dyDescent="0.35">
      <c r="A7" s="675">
        <v>4</v>
      </c>
      <c r="B7" s="675">
        <v>313314000</v>
      </c>
      <c r="C7" s="197" t="s">
        <v>61</v>
      </c>
      <c r="D7" s="197" t="s">
        <v>64</v>
      </c>
      <c r="E7" s="205" t="s">
        <v>63</v>
      </c>
      <c r="F7" s="298">
        <v>578164</v>
      </c>
      <c r="G7" s="295">
        <f t="shared" si="0"/>
        <v>50300268</v>
      </c>
      <c r="H7" s="425"/>
      <c r="I7" s="416"/>
      <c r="J7" s="487"/>
      <c r="K7" s="416">
        <f>566250.43+121625</f>
        <v>687875.43</v>
      </c>
      <c r="L7" s="416"/>
      <c r="M7" s="415"/>
      <c r="N7" s="415">
        <f t="shared" si="1"/>
        <v>687875.43</v>
      </c>
      <c r="O7" s="415">
        <f t="shared" si="2"/>
        <v>-109711.43000000005</v>
      </c>
      <c r="P7" s="444" t="s">
        <v>925</v>
      </c>
      <c r="Q7" s="444" t="s">
        <v>926</v>
      </c>
      <c r="R7" s="299" t="s">
        <v>523</v>
      </c>
      <c r="S7" s="250">
        <v>578163.52</v>
      </c>
    </row>
    <row r="8" spans="1:19" ht="15.5" x14ac:dyDescent="0.35">
      <c r="A8" s="682"/>
      <c r="B8" s="682"/>
      <c r="C8" s="197" t="s">
        <v>61</v>
      </c>
      <c r="D8" s="197" t="s">
        <v>65</v>
      </c>
      <c r="E8" s="205" t="s">
        <v>63</v>
      </c>
      <c r="F8" s="302">
        <v>10000</v>
      </c>
      <c r="G8" s="295">
        <f t="shared" si="0"/>
        <v>870000</v>
      </c>
      <c r="H8" s="425"/>
      <c r="I8" s="416"/>
      <c r="J8" s="487"/>
      <c r="K8" s="416"/>
      <c r="L8" s="416"/>
      <c r="M8" s="415"/>
      <c r="N8" s="415">
        <f t="shared" si="1"/>
        <v>0</v>
      </c>
      <c r="O8" s="415">
        <f t="shared" si="2"/>
        <v>10000</v>
      </c>
      <c r="P8" s="444"/>
      <c r="Q8" s="444"/>
      <c r="R8" s="299" t="s">
        <v>13</v>
      </c>
      <c r="S8" s="250"/>
    </row>
    <row r="9" spans="1:19" ht="48.75" customHeight="1" x14ac:dyDescent="0.35">
      <c r="A9" s="205">
        <v>5</v>
      </c>
      <c r="B9" s="205">
        <v>303303001</v>
      </c>
      <c r="C9" s="197" t="s">
        <v>61</v>
      </c>
      <c r="D9" s="197" t="s">
        <v>264</v>
      </c>
      <c r="E9" s="205" t="s">
        <v>63</v>
      </c>
      <c r="F9" s="298">
        <v>81906</v>
      </c>
      <c r="G9" s="295">
        <f t="shared" si="0"/>
        <v>7125822</v>
      </c>
      <c r="H9" s="425"/>
      <c r="I9" s="416"/>
      <c r="J9" s="487"/>
      <c r="K9" s="416">
        <f>160306-17150</f>
        <v>143156</v>
      </c>
      <c r="L9" s="416"/>
      <c r="M9" s="415"/>
      <c r="N9" s="415">
        <f t="shared" si="1"/>
        <v>143156</v>
      </c>
      <c r="O9" s="415">
        <f t="shared" si="2"/>
        <v>-61250</v>
      </c>
      <c r="P9" s="444" t="s">
        <v>633</v>
      </c>
      <c r="Q9" s="444" t="s">
        <v>634</v>
      </c>
      <c r="R9" s="299" t="s">
        <v>530</v>
      </c>
      <c r="S9" s="250"/>
    </row>
    <row r="10" spans="1:19" ht="76.5" customHeight="1" x14ac:dyDescent="0.35">
      <c r="A10" s="205">
        <v>6</v>
      </c>
      <c r="B10" s="205">
        <v>317317001</v>
      </c>
      <c r="C10" s="197" t="s">
        <v>61</v>
      </c>
      <c r="D10" s="197" t="s">
        <v>66</v>
      </c>
      <c r="E10" s="205" t="s">
        <v>63</v>
      </c>
      <c r="F10" s="298">
        <v>26707</v>
      </c>
      <c r="G10" s="295">
        <f t="shared" si="0"/>
        <v>2323509</v>
      </c>
      <c r="H10" s="425"/>
      <c r="I10" s="416"/>
      <c r="J10" s="487"/>
      <c r="K10" s="416">
        <f>9832+1450</f>
        <v>11282</v>
      </c>
      <c r="L10" s="416"/>
      <c r="M10" s="415"/>
      <c r="N10" s="415">
        <f t="shared" si="1"/>
        <v>11282</v>
      </c>
      <c r="O10" s="415">
        <f t="shared" si="2"/>
        <v>15425</v>
      </c>
      <c r="P10" s="444" t="s">
        <v>803</v>
      </c>
      <c r="Q10" s="444" t="s">
        <v>804</v>
      </c>
      <c r="R10" s="299" t="s">
        <v>535</v>
      </c>
      <c r="S10" s="250"/>
    </row>
    <row r="11" spans="1:19" ht="46.5" x14ac:dyDescent="0.35">
      <c r="A11" s="675">
        <v>7</v>
      </c>
      <c r="B11" s="675">
        <v>312312001</v>
      </c>
      <c r="C11" s="677" t="s">
        <v>61</v>
      </c>
      <c r="D11" s="677" t="s">
        <v>67</v>
      </c>
      <c r="E11" s="205" t="s">
        <v>63</v>
      </c>
      <c r="F11" s="261">
        <v>567761</v>
      </c>
      <c r="G11" s="295">
        <f t="shared" si="0"/>
        <v>49395207</v>
      </c>
      <c r="H11" s="425"/>
      <c r="I11" s="416"/>
      <c r="J11" s="487"/>
      <c r="K11" s="416">
        <v>660223</v>
      </c>
      <c r="L11" s="416"/>
      <c r="M11" s="415"/>
      <c r="N11" s="415">
        <f t="shared" si="1"/>
        <v>660223</v>
      </c>
      <c r="O11" s="415">
        <f t="shared" si="2"/>
        <v>-92462</v>
      </c>
      <c r="P11" s="444" t="s">
        <v>631</v>
      </c>
      <c r="Q11" s="444" t="s">
        <v>632</v>
      </c>
      <c r="R11" s="299" t="s">
        <v>524</v>
      </c>
      <c r="S11" s="250">
        <v>567760.56999999995</v>
      </c>
    </row>
    <row r="12" spans="1:19" ht="27.75" customHeight="1" x14ac:dyDescent="0.35">
      <c r="A12" s="682"/>
      <c r="B12" s="682"/>
      <c r="C12" s="683"/>
      <c r="D12" s="683"/>
      <c r="E12" s="205" t="s">
        <v>68</v>
      </c>
      <c r="F12" s="261">
        <v>57338</v>
      </c>
      <c r="G12" s="295">
        <f t="shared" si="0"/>
        <v>4988406</v>
      </c>
      <c r="H12" s="425"/>
      <c r="I12" s="416"/>
      <c r="J12" s="487"/>
      <c r="K12" s="416">
        <v>339401</v>
      </c>
      <c r="L12" s="416"/>
      <c r="M12" s="415"/>
      <c r="N12" s="415">
        <f t="shared" si="1"/>
        <v>339401</v>
      </c>
      <c r="O12" s="415">
        <f t="shared" si="2"/>
        <v>-282063</v>
      </c>
      <c r="P12" s="444" t="s">
        <v>931</v>
      </c>
      <c r="Q12" s="444" t="s">
        <v>932</v>
      </c>
      <c r="R12" s="299" t="s">
        <v>13</v>
      </c>
      <c r="S12" s="250"/>
    </row>
    <row r="13" spans="1:19" ht="15.5" x14ac:dyDescent="0.35">
      <c r="A13" s="205">
        <v>8</v>
      </c>
      <c r="B13" s="205"/>
      <c r="C13" s="197" t="s">
        <v>61</v>
      </c>
      <c r="D13" s="196" t="s">
        <v>306</v>
      </c>
      <c r="E13" s="197"/>
      <c r="F13" s="300">
        <v>50000</v>
      </c>
      <c r="G13" s="295">
        <f t="shared" si="0"/>
        <v>4350000</v>
      </c>
      <c r="H13" s="425"/>
      <c r="I13" s="416"/>
      <c r="J13" s="487"/>
      <c r="K13" s="416"/>
      <c r="L13" s="416"/>
      <c r="M13" s="415"/>
      <c r="N13" s="415">
        <f t="shared" si="1"/>
        <v>0</v>
      </c>
      <c r="O13" s="415">
        <f t="shared" si="2"/>
        <v>50000</v>
      </c>
      <c r="P13" s="444"/>
      <c r="Q13" s="444"/>
      <c r="R13" s="299" t="s">
        <v>13</v>
      </c>
      <c r="S13" s="250"/>
    </row>
    <row r="14" spans="1:19" ht="62" x14ac:dyDescent="0.35">
      <c r="A14" s="205">
        <v>9</v>
      </c>
      <c r="B14" s="205">
        <v>313315001</v>
      </c>
      <c r="C14" s="197" t="s">
        <v>61</v>
      </c>
      <c r="D14" s="126" t="s">
        <v>299</v>
      </c>
      <c r="E14" s="303" t="s">
        <v>63</v>
      </c>
      <c r="F14" s="298">
        <v>73582</v>
      </c>
      <c r="G14" s="295">
        <f t="shared" si="0"/>
        <v>6401634</v>
      </c>
      <c r="H14" s="425">
        <v>90</v>
      </c>
      <c r="I14" s="416"/>
      <c r="J14" s="487"/>
      <c r="K14" s="416">
        <f>113222+13920</f>
        <v>127142</v>
      </c>
      <c r="L14" s="416"/>
      <c r="M14" s="415"/>
      <c r="N14" s="415">
        <f t="shared" si="1"/>
        <v>127166.3</v>
      </c>
      <c r="O14" s="415">
        <f t="shared" si="2"/>
        <v>-53584.3</v>
      </c>
      <c r="P14" s="444" t="s">
        <v>595</v>
      </c>
      <c r="Q14" s="444" t="s">
        <v>596</v>
      </c>
      <c r="R14" s="299" t="s">
        <v>534</v>
      </c>
      <c r="S14" s="250"/>
    </row>
    <row r="15" spans="1:19" ht="62" x14ac:dyDescent="0.35">
      <c r="A15" s="205">
        <v>10</v>
      </c>
      <c r="B15" s="205">
        <v>325325001</v>
      </c>
      <c r="C15" s="197" t="s">
        <v>61</v>
      </c>
      <c r="D15" s="197" t="s">
        <v>70</v>
      </c>
      <c r="E15" s="205" t="s">
        <v>63</v>
      </c>
      <c r="F15" s="261">
        <v>590676</v>
      </c>
      <c r="G15" s="295">
        <f t="shared" si="0"/>
        <v>51388812</v>
      </c>
      <c r="H15" s="425"/>
      <c r="I15" s="416"/>
      <c r="J15" s="487"/>
      <c r="K15" s="416">
        <f>598770+562+3123+5332</f>
        <v>607787</v>
      </c>
      <c r="L15" s="416"/>
      <c r="M15" s="415"/>
      <c r="N15" s="415">
        <f t="shared" si="1"/>
        <v>607787</v>
      </c>
      <c r="O15" s="415">
        <f t="shared" si="2"/>
        <v>-17111</v>
      </c>
      <c r="P15" s="444" t="s">
        <v>839</v>
      </c>
      <c r="Q15" s="444" t="s">
        <v>840</v>
      </c>
      <c r="R15" s="299" t="s">
        <v>534</v>
      </c>
      <c r="S15" s="250"/>
    </row>
    <row r="16" spans="1:19" ht="46.5" x14ac:dyDescent="0.35">
      <c r="A16" s="283">
        <v>11</v>
      </c>
      <c r="B16" s="283">
        <v>325053001</v>
      </c>
      <c r="C16" s="196" t="s">
        <v>61</v>
      </c>
      <c r="D16" s="196" t="s">
        <v>73</v>
      </c>
      <c r="E16" s="205" t="s">
        <v>60</v>
      </c>
      <c r="F16" s="261">
        <f>422047+16575</f>
        <v>438622</v>
      </c>
      <c r="G16" s="295">
        <f t="shared" si="0"/>
        <v>38160114</v>
      </c>
      <c r="H16" s="425"/>
      <c r="I16" s="416"/>
      <c r="J16" s="487"/>
      <c r="K16" s="416">
        <f>432160.46+306676</f>
        <v>738836.46</v>
      </c>
      <c r="L16" s="416"/>
      <c r="M16" s="415"/>
      <c r="N16" s="415">
        <f t="shared" si="1"/>
        <v>738836.46</v>
      </c>
      <c r="O16" s="415">
        <f t="shared" si="2"/>
        <v>-300214.45999999996</v>
      </c>
      <c r="P16" s="444" t="s">
        <v>923</v>
      </c>
      <c r="Q16" s="444" t="s">
        <v>924</v>
      </c>
      <c r="R16" s="299" t="s">
        <v>533</v>
      </c>
      <c r="S16" s="250">
        <v>432160.49</v>
      </c>
    </row>
    <row r="17" spans="1:19" ht="62" x14ac:dyDescent="0.35">
      <c r="A17" s="205">
        <v>12</v>
      </c>
      <c r="B17" s="205">
        <v>334334001</v>
      </c>
      <c r="C17" s="197" t="s">
        <v>88</v>
      </c>
      <c r="D17" s="197" t="s">
        <v>288</v>
      </c>
      <c r="E17" s="205" t="s">
        <v>60</v>
      </c>
      <c r="F17" s="261">
        <v>276185.56</v>
      </c>
      <c r="G17" s="295">
        <f t="shared" si="0"/>
        <v>24028143.719999999</v>
      </c>
      <c r="H17" s="425"/>
      <c r="I17" s="416"/>
      <c r="J17" s="487"/>
      <c r="K17" s="416">
        <f>268926.7+35306+111068</f>
        <v>415300.7</v>
      </c>
      <c r="L17" s="416"/>
      <c r="M17" s="415"/>
      <c r="N17" s="415">
        <f t="shared" si="1"/>
        <v>415300.7</v>
      </c>
      <c r="O17" s="415">
        <f t="shared" si="2"/>
        <v>-139115.14000000001</v>
      </c>
      <c r="P17" s="444" t="s">
        <v>733</v>
      </c>
      <c r="Q17" s="444" t="s">
        <v>734</v>
      </c>
      <c r="R17" s="299" t="s">
        <v>532</v>
      </c>
      <c r="S17" s="250"/>
    </row>
    <row r="18" spans="1:19" ht="46.5" x14ac:dyDescent="0.35">
      <c r="A18" s="304">
        <v>13</v>
      </c>
      <c r="B18" s="305">
        <v>331331051</v>
      </c>
      <c r="C18" s="197" t="s">
        <v>61</v>
      </c>
      <c r="D18" s="197" t="s">
        <v>268</v>
      </c>
      <c r="E18" s="205" t="s">
        <v>92</v>
      </c>
      <c r="F18" s="261">
        <v>693364</v>
      </c>
      <c r="G18" s="295">
        <f t="shared" si="0"/>
        <v>60322668</v>
      </c>
      <c r="H18" s="425"/>
      <c r="I18" s="416"/>
      <c r="J18" s="487"/>
      <c r="K18" s="416">
        <f>693364+48672</f>
        <v>742036</v>
      </c>
      <c r="L18" s="416"/>
      <c r="M18" s="415"/>
      <c r="N18" s="415">
        <f t="shared" si="1"/>
        <v>742036</v>
      </c>
      <c r="O18" s="415">
        <f t="shared" si="2"/>
        <v>-48672</v>
      </c>
      <c r="P18" s="444" t="s">
        <v>801</v>
      </c>
      <c r="Q18" s="444" t="s">
        <v>802</v>
      </c>
      <c r="R18" s="299" t="s">
        <v>531</v>
      </c>
      <c r="S18" s="681"/>
    </row>
    <row r="19" spans="1:19" ht="46.5" x14ac:dyDescent="0.35">
      <c r="A19" s="304">
        <v>14</v>
      </c>
      <c r="B19" s="305">
        <v>331331021</v>
      </c>
      <c r="C19" s="197" t="s">
        <v>61</v>
      </c>
      <c r="D19" s="197" t="s">
        <v>269</v>
      </c>
      <c r="E19" s="205" t="s">
        <v>92</v>
      </c>
      <c r="F19" s="261">
        <v>621572</v>
      </c>
      <c r="G19" s="295">
        <f t="shared" si="0"/>
        <v>54076764</v>
      </c>
      <c r="H19" s="425"/>
      <c r="I19" s="416"/>
      <c r="J19" s="487"/>
      <c r="K19" s="416">
        <v>621752</v>
      </c>
      <c r="L19" s="416"/>
      <c r="M19" s="415"/>
      <c r="N19" s="415">
        <f t="shared" si="1"/>
        <v>621752</v>
      </c>
      <c r="O19" s="415">
        <f t="shared" si="2"/>
        <v>-180</v>
      </c>
      <c r="P19" s="444"/>
      <c r="Q19" s="444"/>
      <c r="R19" s="299" t="s">
        <v>531</v>
      </c>
      <c r="S19" s="681"/>
    </row>
    <row r="20" spans="1:19" ht="15.5" x14ac:dyDescent="0.35">
      <c r="A20" s="304">
        <v>15</v>
      </c>
      <c r="B20" s="205">
        <v>312312011</v>
      </c>
      <c r="C20" s="197" t="s">
        <v>61</v>
      </c>
      <c r="D20" s="126" t="s">
        <v>69</v>
      </c>
      <c r="E20" s="205" t="s">
        <v>63</v>
      </c>
      <c r="F20" s="261"/>
      <c r="G20" s="295">
        <f t="shared" si="0"/>
        <v>0</v>
      </c>
      <c r="H20" s="425"/>
      <c r="I20" s="416"/>
      <c r="J20" s="487"/>
      <c r="K20" s="416"/>
      <c r="L20" s="416"/>
      <c r="M20" s="415"/>
      <c r="N20" s="415">
        <f t="shared" si="1"/>
        <v>0</v>
      </c>
      <c r="O20" s="415">
        <f t="shared" si="2"/>
        <v>0</v>
      </c>
      <c r="P20" s="444"/>
      <c r="Q20" s="444"/>
      <c r="R20" s="435"/>
      <c r="S20" s="250"/>
    </row>
    <row r="21" spans="1:19" ht="62" x14ac:dyDescent="0.35">
      <c r="A21" s="304">
        <v>16</v>
      </c>
      <c r="B21" s="205">
        <v>325053001</v>
      </c>
      <c r="C21" s="197" t="s">
        <v>61</v>
      </c>
      <c r="D21" s="197" t="s">
        <v>71</v>
      </c>
      <c r="E21" s="205" t="s">
        <v>97</v>
      </c>
      <c r="F21" s="261">
        <f>10000+25000</f>
        <v>35000</v>
      </c>
      <c r="G21" s="295">
        <f t="shared" si="0"/>
        <v>3045000</v>
      </c>
      <c r="H21" s="425"/>
      <c r="I21" s="416">
        <v>1843.82</v>
      </c>
      <c r="J21" s="487"/>
      <c r="K21" s="416">
        <f>31031.88+567</f>
        <v>31598.880000000001</v>
      </c>
      <c r="L21" s="416"/>
      <c r="M21" s="415"/>
      <c r="N21" s="415">
        <f t="shared" si="1"/>
        <v>33442.700000000004</v>
      </c>
      <c r="O21" s="415">
        <f t="shared" si="2"/>
        <v>1557.2999999999956</v>
      </c>
      <c r="P21" s="444" t="s">
        <v>849</v>
      </c>
      <c r="Q21" s="444" t="s">
        <v>850</v>
      </c>
      <c r="R21" s="299" t="s">
        <v>13</v>
      </c>
      <c r="S21" s="250"/>
    </row>
    <row r="22" spans="1:19" ht="124" x14ac:dyDescent="0.35">
      <c r="A22" s="304">
        <v>17</v>
      </c>
      <c r="B22" s="205">
        <v>337047001</v>
      </c>
      <c r="C22" s="197" t="s">
        <v>74</v>
      </c>
      <c r="D22" s="197" t="s">
        <v>75</v>
      </c>
      <c r="E22" s="205" t="s">
        <v>97</v>
      </c>
      <c r="F22" s="302">
        <v>15000</v>
      </c>
      <c r="G22" s="295">
        <f t="shared" si="0"/>
        <v>1305000</v>
      </c>
      <c r="H22" s="425">
        <f>3736+672+2946+174+270</f>
        <v>7798</v>
      </c>
      <c r="I22" s="416">
        <f>4736+3828</f>
        <v>8564</v>
      </c>
      <c r="J22" s="487">
        <v>55022</v>
      </c>
      <c r="K22" s="416"/>
      <c r="L22" s="416"/>
      <c r="M22" s="415"/>
      <c r="N22" s="415">
        <f t="shared" si="1"/>
        <v>11301.662779999999</v>
      </c>
      <c r="O22" s="415">
        <f t="shared" si="2"/>
        <v>3698.3372200000013</v>
      </c>
      <c r="P22" s="444" t="s">
        <v>899</v>
      </c>
      <c r="Q22" s="444" t="s">
        <v>900</v>
      </c>
      <c r="R22" s="299" t="s">
        <v>13</v>
      </c>
      <c r="S22" s="250"/>
    </row>
    <row r="23" spans="1:19" ht="15.5" x14ac:dyDescent="0.35">
      <c r="A23" s="304">
        <v>18</v>
      </c>
      <c r="B23" s="205"/>
      <c r="C23" s="197" t="s">
        <v>74</v>
      </c>
      <c r="D23" s="197" t="s">
        <v>77</v>
      </c>
      <c r="E23" s="205" t="s">
        <v>97</v>
      </c>
      <c r="F23" s="261">
        <v>5000</v>
      </c>
      <c r="G23" s="295">
        <f t="shared" si="0"/>
        <v>435000</v>
      </c>
      <c r="H23" s="425"/>
      <c r="I23" s="416"/>
      <c r="J23" s="487"/>
      <c r="K23" s="416"/>
      <c r="L23" s="416"/>
      <c r="M23" s="415"/>
      <c r="N23" s="415">
        <f t="shared" si="1"/>
        <v>0</v>
      </c>
      <c r="O23" s="415">
        <f t="shared" si="2"/>
        <v>5000</v>
      </c>
      <c r="P23" s="444"/>
      <c r="Q23" s="444"/>
      <c r="R23" s="299" t="s">
        <v>13</v>
      </c>
      <c r="S23" s="250"/>
    </row>
    <row r="24" spans="1:19" ht="15.5" x14ac:dyDescent="0.35">
      <c r="A24" s="304">
        <v>19</v>
      </c>
      <c r="B24" s="205">
        <v>346348005</v>
      </c>
      <c r="C24" s="197" t="s">
        <v>74</v>
      </c>
      <c r="D24" s="126" t="s">
        <v>390</v>
      </c>
      <c r="E24" s="205" t="s">
        <v>97</v>
      </c>
      <c r="F24" s="298">
        <v>4000</v>
      </c>
      <c r="G24" s="295">
        <f t="shared" si="0"/>
        <v>348000</v>
      </c>
      <c r="H24" s="425"/>
      <c r="I24" s="416"/>
      <c r="J24" s="487"/>
      <c r="K24" s="416"/>
      <c r="L24" s="416"/>
      <c r="M24" s="415"/>
      <c r="N24" s="415">
        <f t="shared" si="1"/>
        <v>0</v>
      </c>
      <c r="O24" s="415">
        <f t="shared" si="2"/>
        <v>4000</v>
      </c>
      <c r="P24" s="444"/>
      <c r="Q24" s="444"/>
      <c r="R24" s="299" t="s">
        <v>13</v>
      </c>
      <c r="S24" s="250"/>
    </row>
    <row r="25" spans="1:19" ht="29" x14ac:dyDescent="0.35">
      <c r="A25" s="304">
        <v>20</v>
      </c>
      <c r="B25" s="205"/>
      <c r="C25" s="197" t="s">
        <v>74</v>
      </c>
      <c r="D25" s="197" t="s">
        <v>79</v>
      </c>
      <c r="E25" s="205" t="s">
        <v>97</v>
      </c>
      <c r="F25" s="261">
        <v>25000</v>
      </c>
      <c r="G25" s="295">
        <f t="shared" si="0"/>
        <v>2175000</v>
      </c>
      <c r="H25" s="425"/>
      <c r="I25" s="416"/>
      <c r="J25" s="487"/>
      <c r="K25" s="416">
        <v>60462</v>
      </c>
      <c r="L25" s="416"/>
      <c r="M25" s="415"/>
      <c r="N25" s="415">
        <f t="shared" si="1"/>
        <v>60462</v>
      </c>
      <c r="O25" s="415">
        <f t="shared" si="2"/>
        <v>-35462</v>
      </c>
      <c r="P25" s="444" t="s">
        <v>653</v>
      </c>
      <c r="Q25" s="444" t="s">
        <v>654</v>
      </c>
      <c r="R25" s="299" t="s">
        <v>13</v>
      </c>
      <c r="S25" s="250"/>
    </row>
    <row r="26" spans="1:19" ht="49.5" customHeight="1" x14ac:dyDescent="0.35">
      <c r="A26" s="675">
        <v>21</v>
      </c>
      <c r="B26" s="205"/>
      <c r="C26" s="677" t="s">
        <v>74</v>
      </c>
      <c r="D26" s="197" t="s">
        <v>484</v>
      </c>
      <c r="E26" s="205" t="s">
        <v>97</v>
      </c>
      <c r="F26" s="261">
        <v>10000</v>
      </c>
      <c r="G26" s="295">
        <f t="shared" si="0"/>
        <v>870000</v>
      </c>
      <c r="H26" s="425"/>
      <c r="I26" s="416"/>
      <c r="J26" s="487"/>
      <c r="K26" s="416"/>
      <c r="L26" s="416"/>
      <c r="M26" s="415"/>
      <c r="N26" s="415">
        <f t="shared" si="1"/>
        <v>0</v>
      </c>
      <c r="O26" s="415">
        <f t="shared" si="2"/>
        <v>10000</v>
      </c>
      <c r="P26" s="444"/>
      <c r="Q26" s="444"/>
      <c r="R26" s="299" t="s">
        <v>13</v>
      </c>
      <c r="S26" s="250"/>
    </row>
    <row r="27" spans="1:19" ht="31" x14ac:dyDescent="0.35">
      <c r="A27" s="682"/>
      <c r="B27" s="205"/>
      <c r="C27" s="683"/>
      <c r="D27" s="197" t="s">
        <v>515</v>
      </c>
      <c r="E27" s="205"/>
      <c r="F27" s="250">
        <v>2400</v>
      </c>
      <c r="G27" s="295">
        <f t="shared" si="0"/>
        <v>208800</v>
      </c>
      <c r="H27" s="425"/>
      <c r="I27" s="416"/>
      <c r="J27" s="487"/>
      <c r="K27" s="416"/>
      <c r="L27" s="416"/>
      <c r="M27" s="415"/>
      <c r="N27" s="415">
        <f t="shared" si="1"/>
        <v>0</v>
      </c>
      <c r="O27" s="415">
        <f t="shared" si="2"/>
        <v>2400</v>
      </c>
      <c r="P27" s="444"/>
      <c r="Q27" s="444"/>
      <c r="R27" s="299" t="s">
        <v>517</v>
      </c>
      <c r="S27" s="250"/>
    </row>
    <row r="28" spans="1:19" ht="15.5" x14ac:dyDescent="0.35">
      <c r="A28" s="304">
        <v>22</v>
      </c>
      <c r="B28" s="205">
        <v>317077001</v>
      </c>
      <c r="C28" s="197" t="s">
        <v>74</v>
      </c>
      <c r="D28" s="197" t="s">
        <v>423</v>
      </c>
      <c r="E28" s="205"/>
      <c r="F28" s="300"/>
      <c r="G28" s="295">
        <f t="shared" si="0"/>
        <v>0</v>
      </c>
      <c r="H28" s="425"/>
      <c r="I28" s="416"/>
      <c r="J28" s="487"/>
      <c r="K28" s="416"/>
      <c r="L28" s="416"/>
      <c r="M28" s="415"/>
      <c r="N28" s="415">
        <f t="shared" si="1"/>
        <v>0</v>
      </c>
      <c r="O28" s="415">
        <f t="shared" si="2"/>
        <v>0</v>
      </c>
      <c r="P28" s="444"/>
      <c r="Q28" s="444"/>
      <c r="R28" s="299"/>
      <c r="S28" s="250"/>
    </row>
    <row r="29" spans="1:19" ht="77.5" x14ac:dyDescent="0.35">
      <c r="A29" s="304">
        <v>23</v>
      </c>
      <c r="B29" s="283">
        <v>328053073</v>
      </c>
      <c r="C29" s="196" t="s">
        <v>74</v>
      </c>
      <c r="D29" s="196" t="s">
        <v>80</v>
      </c>
      <c r="E29" s="197" t="s">
        <v>81</v>
      </c>
      <c r="F29" s="298">
        <v>400000</v>
      </c>
      <c r="G29" s="295">
        <f t="shared" si="0"/>
        <v>34800000</v>
      </c>
      <c r="H29" s="425">
        <v>25200</v>
      </c>
      <c r="I29" s="416">
        <f>3808+78425</f>
        <v>82233</v>
      </c>
      <c r="J29" s="487"/>
      <c r="K29" s="416"/>
      <c r="L29" s="416"/>
      <c r="M29" s="415"/>
      <c r="N29" s="415">
        <f t="shared" si="1"/>
        <v>89037</v>
      </c>
      <c r="O29" s="415">
        <f t="shared" si="2"/>
        <v>310963</v>
      </c>
      <c r="P29" s="444" t="s">
        <v>870</v>
      </c>
      <c r="Q29" s="444" t="s">
        <v>871</v>
      </c>
      <c r="R29" s="307" t="s">
        <v>361</v>
      </c>
      <c r="S29" s="250"/>
    </row>
    <row r="30" spans="1:19" ht="108.5" x14ac:dyDescent="0.35">
      <c r="A30" s="304">
        <v>24</v>
      </c>
      <c r="B30" s="197" t="s">
        <v>282</v>
      </c>
      <c r="C30" s="197" t="s">
        <v>82</v>
      </c>
      <c r="D30" s="197" t="s">
        <v>281</v>
      </c>
      <c r="E30" s="205" t="s">
        <v>60</v>
      </c>
      <c r="F30" s="300">
        <f>181780+79408</f>
        <v>261188</v>
      </c>
      <c r="G30" s="295">
        <f t="shared" si="0"/>
        <v>22723356</v>
      </c>
      <c r="H30" s="425"/>
      <c r="I30" s="416"/>
      <c r="J30" s="487">
        <v>15600</v>
      </c>
      <c r="K30" s="416">
        <f>142654+154490+77266+12990</f>
        <v>387400</v>
      </c>
      <c r="L30" s="416"/>
      <c r="M30" s="415"/>
      <c r="N30" s="415">
        <f t="shared" si="1"/>
        <v>387579.24400000001</v>
      </c>
      <c r="O30" s="415">
        <f t="shared" si="2"/>
        <v>-126391.24400000001</v>
      </c>
      <c r="P30" s="444" t="s">
        <v>939</v>
      </c>
      <c r="Q30" s="444" t="s">
        <v>940</v>
      </c>
      <c r="R30" s="307" t="s">
        <v>287</v>
      </c>
      <c r="S30" s="250"/>
    </row>
    <row r="31" spans="1:19" ht="132" customHeight="1" x14ac:dyDescent="0.35">
      <c r="A31" s="304">
        <v>25</v>
      </c>
      <c r="B31" s="197" t="s">
        <v>283</v>
      </c>
      <c r="C31" s="197" t="s">
        <v>82</v>
      </c>
      <c r="D31" s="197" t="s">
        <v>402</v>
      </c>
      <c r="E31" s="205" t="s">
        <v>60</v>
      </c>
      <c r="F31" s="261">
        <v>500000</v>
      </c>
      <c r="G31" s="295">
        <f t="shared" si="0"/>
        <v>43500000</v>
      </c>
      <c r="H31" s="425">
        <f>39600 + 35625+4944</f>
        <v>80169</v>
      </c>
      <c r="I31" s="416">
        <f>20050+17343</f>
        <v>37393</v>
      </c>
      <c r="J31" s="487"/>
      <c r="K31" s="416">
        <f>63007</f>
        <v>63007</v>
      </c>
      <c r="L31" s="416"/>
      <c r="M31" s="415"/>
      <c r="N31" s="415">
        <f t="shared" si="1"/>
        <v>122045.63</v>
      </c>
      <c r="O31" s="415">
        <f t="shared" si="2"/>
        <v>377954.37</v>
      </c>
      <c r="P31" s="444" t="s">
        <v>827</v>
      </c>
      <c r="Q31" s="444" t="s">
        <v>828</v>
      </c>
      <c r="R31" s="299" t="s">
        <v>300</v>
      </c>
      <c r="S31" s="250"/>
    </row>
    <row r="32" spans="1:19" ht="65.25" customHeight="1" x14ac:dyDescent="0.35">
      <c r="A32" s="304">
        <v>26</v>
      </c>
      <c r="B32" s="205"/>
      <c r="C32" s="197" t="s">
        <v>82</v>
      </c>
      <c r="D32" s="197" t="s">
        <v>486</v>
      </c>
      <c r="E32" s="205" t="s">
        <v>60</v>
      </c>
      <c r="F32" s="261"/>
      <c r="G32" s="295">
        <f t="shared" si="0"/>
        <v>0</v>
      </c>
      <c r="H32" s="425"/>
      <c r="I32" s="416"/>
      <c r="J32" s="487"/>
      <c r="K32" s="416"/>
      <c r="L32" s="416"/>
      <c r="M32" s="415"/>
      <c r="N32" s="415">
        <f t="shared" si="1"/>
        <v>0</v>
      </c>
      <c r="O32" s="415">
        <f t="shared" si="2"/>
        <v>0</v>
      </c>
      <c r="P32" s="444"/>
      <c r="Q32" s="444"/>
      <c r="R32" s="299" t="s">
        <v>529</v>
      </c>
      <c r="S32" s="250"/>
    </row>
    <row r="33" spans="1:19" ht="60.75" customHeight="1" x14ac:dyDescent="0.35">
      <c r="A33" s="304">
        <v>27</v>
      </c>
      <c r="B33" s="205"/>
      <c r="C33" s="197" t="s">
        <v>82</v>
      </c>
      <c r="D33" s="197" t="s">
        <v>83</v>
      </c>
      <c r="E33" s="205" t="s">
        <v>60</v>
      </c>
      <c r="F33" s="261">
        <v>30000</v>
      </c>
      <c r="G33" s="295">
        <f t="shared" si="0"/>
        <v>2610000</v>
      </c>
      <c r="H33" s="425"/>
      <c r="I33" s="416">
        <v>3155.6</v>
      </c>
      <c r="J33" s="487"/>
      <c r="K33" s="416">
        <f>1445+31860</f>
        <v>33305</v>
      </c>
      <c r="L33" s="416"/>
      <c r="M33" s="415"/>
      <c r="N33" s="415">
        <f t="shared" si="1"/>
        <v>36460.6</v>
      </c>
      <c r="O33" s="415">
        <f t="shared" si="2"/>
        <v>-6460.5999999999985</v>
      </c>
      <c r="P33" s="444" t="s">
        <v>843</v>
      </c>
      <c r="Q33" s="444" t="s">
        <v>844</v>
      </c>
      <c r="R33" s="299" t="s">
        <v>13</v>
      </c>
      <c r="S33" s="250"/>
    </row>
    <row r="34" spans="1:19" ht="67.5" customHeight="1" x14ac:dyDescent="0.35">
      <c r="A34" s="304">
        <v>28</v>
      </c>
      <c r="B34" s="205"/>
      <c r="C34" s="197" t="s">
        <v>84</v>
      </c>
      <c r="D34" s="126" t="s">
        <v>85</v>
      </c>
      <c r="E34" s="205" t="s">
        <v>60</v>
      </c>
      <c r="F34" s="261">
        <v>100000</v>
      </c>
      <c r="G34" s="295">
        <f t="shared" si="0"/>
        <v>8700000</v>
      </c>
      <c r="H34" s="425"/>
      <c r="I34" s="416">
        <v>12800</v>
      </c>
      <c r="J34" s="487"/>
      <c r="K34" s="416">
        <v>82687</v>
      </c>
      <c r="L34" s="416"/>
      <c r="M34" s="415"/>
      <c r="N34" s="415">
        <f t="shared" si="1"/>
        <v>95487</v>
      </c>
      <c r="O34" s="415">
        <f t="shared" si="2"/>
        <v>4513</v>
      </c>
      <c r="P34" s="455" t="s">
        <v>645</v>
      </c>
      <c r="Q34" s="455" t="s">
        <v>646</v>
      </c>
      <c r="R34" s="299" t="s">
        <v>13</v>
      </c>
      <c r="S34" s="250"/>
    </row>
    <row r="35" spans="1:19" ht="29" x14ac:dyDescent="0.35">
      <c r="A35" s="304">
        <v>29</v>
      </c>
      <c r="B35" s="205"/>
      <c r="C35" s="197" t="s">
        <v>86</v>
      </c>
      <c r="D35" s="197" t="s">
        <v>87</v>
      </c>
      <c r="E35" s="205" t="s">
        <v>60</v>
      </c>
      <c r="F35" s="261"/>
      <c r="G35" s="295">
        <f t="shared" si="0"/>
        <v>0</v>
      </c>
      <c r="H35" s="425"/>
      <c r="I35" s="416"/>
      <c r="J35" s="487"/>
      <c r="K35" s="416">
        <v>162.5</v>
      </c>
      <c r="L35" s="416"/>
      <c r="M35" s="415"/>
      <c r="N35" s="415">
        <f t="shared" si="1"/>
        <v>162.5</v>
      </c>
      <c r="O35" s="415">
        <f t="shared" si="2"/>
        <v>-162.5</v>
      </c>
      <c r="P35" s="444" t="s">
        <v>643</v>
      </c>
      <c r="Q35" s="444" t="s">
        <v>644</v>
      </c>
      <c r="R35" s="299" t="s">
        <v>304</v>
      </c>
      <c r="S35" s="250"/>
    </row>
    <row r="36" spans="1:19" ht="170.5" x14ac:dyDescent="0.35">
      <c r="A36" s="675">
        <v>30</v>
      </c>
      <c r="B36" s="283"/>
      <c r="C36" s="677" t="s">
        <v>89</v>
      </c>
      <c r="D36" s="677" t="s">
        <v>377</v>
      </c>
      <c r="E36" s="205" t="s">
        <v>421</v>
      </c>
      <c r="F36" s="261">
        <v>250000</v>
      </c>
      <c r="G36" s="295">
        <f t="shared" si="0"/>
        <v>21750000</v>
      </c>
      <c r="H36" s="425">
        <f>9831+3796</f>
        <v>13627</v>
      </c>
      <c r="I36" s="416"/>
      <c r="J36" s="487"/>
      <c r="K36" s="416">
        <f>98384+4000</f>
        <v>102384</v>
      </c>
      <c r="L36" s="416"/>
      <c r="M36" s="415"/>
      <c r="N36" s="415">
        <f t="shared" si="1"/>
        <v>106063.29</v>
      </c>
      <c r="O36" s="415">
        <f t="shared" si="2"/>
        <v>143936.71000000002</v>
      </c>
      <c r="P36" s="444" t="s">
        <v>862</v>
      </c>
      <c r="Q36" s="444" t="s">
        <v>863</v>
      </c>
      <c r="R36" s="299" t="s">
        <v>303</v>
      </c>
      <c r="S36" s="250"/>
    </row>
    <row r="37" spans="1:19" ht="69.650000000000006" customHeight="1" x14ac:dyDescent="0.35">
      <c r="A37" s="676"/>
      <c r="B37" s="308">
        <v>326342001</v>
      </c>
      <c r="C37" s="678"/>
      <c r="D37" s="678"/>
      <c r="E37" s="205" t="s">
        <v>270</v>
      </c>
      <c r="F37" s="261">
        <f>55000*2</f>
        <v>110000</v>
      </c>
      <c r="G37" s="295">
        <f t="shared" ref="G37:G61" si="3">F37*87</f>
        <v>9570000</v>
      </c>
      <c r="H37" s="425"/>
      <c r="I37" s="416"/>
      <c r="J37" s="487"/>
      <c r="K37" s="416">
        <v>110000</v>
      </c>
      <c r="L37" s="416"/>
      <c r="M37" s="415"/>
      <c r="N37" s="415">
        <f t="shared" si="1"/>
        <v>110000</v>
      </c>
      <c r="O37" s="415">
        <f t="shared" si="2"/>
        <v>0</v>
      </c>
      <c r="P37" s="557" t="s">
        <v>731</v>
      </c>
      <c r="Q37" s="556" t="s">
        <v>732</v>
      </c>
      <c r="R37" s="299" t="s">
        <v>90</v>
      </c>
      <c r="S37" s="250"/>
    </row>
    <row r="38" spans="1:19" ht="31" x14ac:dyDescent="0.35">
      <c r="A38" s="205">
        <v>31</v>
      </c>
      <c r="B38" s="205">
        <v>326025001</v>
      </c>
      <c r="C38" s="197" t="s">
        <v>89</v>
      </c>
      <c r="D38" s="196" t="s">
        <v>91</v>
      </c>
      <c r="E38" s="205" t="s">
        <v>92</v>
      </c>
      <c r="F38" s="261">
        <v>60000</v>
      </c>
      <c r="G38" s="295">
        <f t="shared" si="3"/>
        <v>5220000</v>
      </c>
      <c r="H38" s="425"/>
      <c r="I38" s="416"/>
      <c r="J38" s="487">
        <v>18000</v>
      </c>
      <c r="K38" s="416">
        <v>5113.6000000000004</v>
      </c>
      <c r="L38" s="416"/>
      <c r="M38" s="415"/>
      <c r="N38" s="415">
        <f t="shared" si="1"/>
        <v>5320.42</v>
      </c>
      <c r="O38" s="415">
        <f t="shared" si="2"/>
        <v>54679.58</v>
      </c>
      <c r="P38" s="444" t="s">
        <v>855</v>
      </c>
      <c r="Q38" s="444" t="s">
        <v>856</v>
      </c>
      <c r="R38" s="299" t="s">
        <v>359</v>
      </c>
      <c r="S38" s="250"/>
    </row>
    <row r="39" spans="1:19" ht="74.150000000000006" customHeight="1" x14ac:dyDescent="0.35">
      <c r="A39" s="283">
        <v>32</v>
      </c>
      <c r="B39" s="196" t="s">
        <v>284</v>
      </c>
      <c r="C39" s="196" t="s">
        <v>89</v>
      </c>
      <c r="D39" s="196" t="s">
        <v>93</v>
      </c>
      <c r="E39" s="205"/>
      <c r="F39" s="261"/>
      <c r="G39" s="295">
        <f t="shared" si="3"/>
        <v>0</v>
      </c>
      <c r="H39" s="425"/>
      <c r="I39" s="416"/>
      <c r="J39" s="487"/>
      <c r="K39" s="416"/>
      <c r="L39" s="416"/>
      <c r="M39" s="415"/>
      <c r="N39" s="415">
        <f t="shared" si="1"/>
        <v>0</v>
      </c>
      <c r="O39" s="415">
        <f t="shared" si="2"/>
        <v>0</v>
      </c>
      <c r="P39" s="444"/>
      <c r="Q39" s="444"/>
      <c r="R39" s="299" t="s">
        <v>359</v>
      </c>
      <c r="S39" s="250"/>
    </row>
    <row r="40" spans="1:19" ht="15.5" x14ac:dyDescent="0.35">
      <c r="A40" s="205">
        <v>33</v>
      </c>
      <c r="B40" s="205">
        <v>324</v>
      </c>
      <c r="C40" s="197" t="s">
        <v>89</v>
      </c>
      <c r="D40" s="197" t="s">
        <v>94</v>
      </c>
      <c r="E40" s="205" t="s">
        <v>72</v>
      </c>
      <c r="F40" s="261"/>
      <c r="G40" s="295">
        <f t="shared" si="3"/>
        <v>0</v>
      </c>
      <c r="H40" s="425"/>
      <c r="I40" s="416"/>
      <c r="J40" s="487"/>
      <c r="K40" s="416"/>
      <c r="L40" s="416"/>
      <c r="M40" s="415"/>
      <c r="N40" s="415">
        <f t="shared" si="1"/>
        <v>0</v>
      </c>
      <c r="O40" s="415">
        <f t="shared" si="2"/>
        <v>0</v>
      </c>
      <c r="P40" s="444"/>
      <c r="Q40" s="444"/>
      <c r="R40" s="299" t="s">
        <v>359</v>
      </c>
      <c r="S40" s="250"/>
    </row>
    <row r="41" spans="1:19" ht="15.5" x14ac:dyDescent="0.35">
      <c r="A41" s="283">
        <v>34</v>
      </c>
      <c r="B41" s="205">
        <v>324021001</v>
      </c>
      <c r="C41" s="197" t="s">
        <v>89</v>
      </c>
      <c r="D41" s="197" t="s">
        <v>442</v>
      </c>
      <c r="E41" s="205" t="s">
        <v>72</v>
      </c>
      <c r="F41" s="261"/>
      <c r="G41" s="295">
        <f t="shared" si="3"/>
        <v>0</v>
      </c>
      <c r="H41" s="425"/>
      <c r="I41" s="416"/>
      <c r="J41" s="487"/>
      <c r="K41" s="416"/>
      <c r="L41" s="416"/>
      <c r="M41" s="415"/>
      <c r="N41" s="415">
        <f t="shared" si="1"/>
        <v>0</v>
      </c>
      <c r="O41" s="415">
        <f t="shared" si="2"/>
        <v>0</v>
      </c>
      <c r="P41" s="444"/>
      <c r="Q41" s="444"/>
      <c r="R41" s="299" t="s">
        <v>359</v>
      </c>
      <c r="S41" s="250"/>
    </row>
    <row r="42" spans="1:19" ht="15.5" x14ac:dyDescent="0.35">
      <c r="A42" s="205">
        <v>35</v>
      </c>
      <c r="B42" s="205"/>
      <c r="C42" s="197" t="s">
        <v>89</v>
      </c>
      <c r="D42" s="197" t="s">
        <v>95</v>
      </c>
      <c r="E42" s="205" t="s">
        <v>72</v>
      </c>
      <c r="F42" s="261"/>
      <c r="G42" s="295">
        <f t="shared" si="3"/>
        <v>0</v>
      </c>
      <c r="H42" s="425"/>
      <c r="I42" s="416"/>
      <c r="J42" s="487"/>
      <c r="K42" s="416"/>
      <c r="L42" s="416"/>
      <c r="M42" s="415"/>
      <c r="N42" s="415">
        <f t="shared" si="1"/>
        <v>0</v>
      </c>
      <c r="O42" s="415">
        <f t="shared" si="2"/>
        <v>0</v>
      </c>
      <c r="P42" s="444"/>
      <c r="Q42" s="444"/>
      <c r="R42" s="299" t="s">
        <v>359</v>
      </c>
      <c r="S42" s="250"/>
    </row>
    <row r="43" spans="1:19" ht="29" x14ac:dyDescent="0.35">
      <c r="A43" s="283">
        <v>36</v>
      </c>
      <c r="B43" s="205">
        <v>373069001</v>
      </c>
      <c r="C43" s="197" t="s">
        <v>89</v>
      </c>
      <c r="D43" s="197" t="s">
        <v>96</v>
      </c>
      <c r="E43" s="205" t="s">
        <v>97</v>
      </c>
      <c r="F43" s="261"/>
      <c r="G43" s="295">
        <f t="shared" si="3"/>
        <v>0</v>
      </c>
      <c r="H43" s="425"/>
      <c r="I43" s="416"/>
      <c r="J43" s="487"/>
      <c r="K43" s="416"/>
      <c r="L43" s="416"/>
      <c r="M43" s="415"/>
      <c r="N43" s="415">
        <f t="shared" si="1"/>
        <v>0</v>
      </c>
      <c r="O43" s="415">
        <f t="shared" si="2"/>
        <v>0</v>
      </c>
      <c r="P43" s="444"/>
      <c r="Q43" s="444"/>
      <c r="R43" s="299" t="s">
        <v>359</v>
      </c>
      <c r="S43" s="250"/>
    </row>
    <row r="44" spans="1:19" ht="15.5" x14ac:dyDescent="0.35">
      <c r="A44" s="283">
        <v>37</v>
      </c>
      <c r="B44" s="205"/>
      <c r="C44" s="197" t="s">
        <v>98</v>
      </c>
      <c r="D44" s="197" t="s">
        <v>100</v>
      </c>
      <c r="E44" s="205" t="s">
        <v>60</v>
      </c>
      <c r="F44" s="261"/>
      <c r="G44" s="295">
        <f t="shared" si="3"/>
        <v>0</v>
      </c>
      <c r="H44" s="425"/>
      <c r="I44" s="416"/>
      <c r="J44" s="487"/>
      <c r="K44" s="416"/>
      <c r="L44" s="416"/>
      <c r="M44" s="415"/>
      <c r="N44" s="415">
        <f t="shared" si="1"/>
        <v>0</v>
      </c>
      <c r="O44" s="415">
        <f t="shared" si="2"/>
        <v>0</v>
      </c>
      <c r="P44" s="444"/>
      <c r="Q44" s="444"/>
      <c r="R44" s="299" t="s">
        <v>335</v>
      </c>
      <c r="S44" s="250"/>
    </row>
    <row r="45" spans="1:19" ht="15.5" x14ac:dyDescent="0.35">
      <c r="A45" s="283">
        <v>38</v>
      </c>
      <c r="B45" s="205"/>
      <c r="C45" s="197" t="s">
        <v>98</v>
      </c>
      <c r="D45" s="197" t="s">
        <v>539</v>
      </c>
      <c r="E45" s="205"/>
      <c r="F45" s="261"/>
      <c r="G45" s="295">
        <f t="shared" si="3"/>
        <v>0</v>
      </c>
      <c r="H45" s="425"/>
      <c r="I45" s="416"/>
      <c r="J45" s="487"/>
      <c r="K45" s="416"/>
      <c r="L45" s="416"/>
      <c r="M45" s="415"/>
      <c r="N45" s="415">
        <f t="shared" si="1"/>
        <v>0</v>
      </c>
      <c r="O45" s="415">
        <f t="shared" si="2"/>
        <v>0</v>
      </c>
      <c r="P45" s="444"/>
      <c r="Q45" s="444"/>
      <c r="R45" s="299" t="s">
        <v>335</v>
      </c>
      <c r="S45" s="250"/>
    </row>
    <row r="46" spans="1:19" ht="15.5" x14ac:dyDescent="0.35">
      <c r="A46" s="283">
        <v>39</v>
      </c>
      <c r="B46" s="205"/>
      <c r="C46" s="197" t="s">
        <v>98</v>
      </c>
      <c r="D46" s="197" t="s">
        <v>101</v>
      </c>
      <c r="E46" s="205" t="s">
        <v>60</v>
      </c>
      <c r="F46" s="261"/>
      <c r="G46" s="295">
        <f t="shared" si="3"/>
        <v>0</v>
      </c>
      <c r="H46" s="425"/>
      <c r="I46" s="416"/>
      <c r="J46" s="487"/>
      <c r="K46" s="416"/>
      <c r="L46" s="416"/>
      <c r="M46" s="415"/>
      <c r="N46" s="415">
        <f t="shared" si="1"/>
        <v>0</v>
      </c>
      <c r="O46" s="415">
        <f t="shared" si="2"/>
        <v>0</v>
      </c>
      <c r="P46" s="444"/>
      <c r="Q46" s="444"/>
      <c r="R46" s="299" t="s">
        <v>335</v>
      </c>
      <c r="S46" s="250"/>
    </row>
    <row r="47" spans="1:19" ht="15.5" x14ac:dyDescent="0.35">
      <c r="A47" s="283">
        <v>40</v>
      </c>
      <c r="B47" s="205"/>
      <c r="C47" s="197" t="s">
        <v>98</v>
      </c>
      <c r="D47" s="197" t="s">
        <v>102</v>
      </c>
      <c r="E47" s="205" t="s">
        <v>60</v>
      </c>
      <c r="F47" s="261"/>
      <c r="G47" s="295">
        <f t="shared" si="3"/>
        <v>0</v>
      </c>
      <c r="H47" s="425"/>
      <c r="I47" s="416"/>
      <c r="J47" s="487"/>
      <c r="K47" s="416"/>
      <c r="L47" s="416"/>
      <c r="M47" s="415"/>
      <c r="N47" s="415">
        <f t="shared" si="1"/>
        <v>0</v>
      </c>
      <c r="O47" s="415">
        <f t="shared" si="2"/>
        <v>0</v>
      </c>
      <c r="P47" s="444"/>
      <c r="Q47" s="444"/>
      <c r="R47" s="299" t="s">
        <v>335</v>
      </c>
      <c r="S47" s="250"/>
    </row>
    <row r="48" spans="1:19" ht="29" x14ac:dyDescent="0.35">
      <c r="A48" s="283">
        <v>41</v>
      </c>
      <c r="B48" s="205"/>
      <c r="C48" s="197" t="s">
        <v>98</v>
      </c>
      <c r="D48" s="197" t="s">
        <v>103</v>
      </c>
      <c r="E48" s="205" t="s">
        <v>60</v>
      </c>
      <c r="F48" s="261"/>
      <c r="G48" s="295">
        <f t="shared" si="3"/>
        <v>0</v>
      </c>
      <c r="H48" s="425"/>
      <c r="I48" s="416"/>
      <c r="J48" s="487"/>
      <c r="K48" s="416"/>
      <c r="L48" s="416"/>
      <c r="M48" s="415"/>
      <c r="N48" s="415">
        <f t="shared" si="1"/>
        <v>0</v>
      </c>
      <c r="O48" s="415">
        <f t="shared" si="2"/>
        <v>0</v>
      </c>
      <c r="P48" s="444"/>
      <c r="Q48" s="444"/>
      <c r="R48" s="299" t="s">
        <v>335</v>
      </c>
      <c r="S48" s="250"/>
    </row>
    <row r="49" spans="1:19" ht="29" x14ac:dyDescent="0.35">
      <c r="A49" s="283">
        <v>42</v>
      </c>
      <c r="B49" s="205"/>
      <c r="C49" s="197" t="s">
        <v>98</v>
      </c>
      <c r="D49" s="197" t="s">
        <v>104</v>
      </c>
      <c r="E49" s="205" t="s">
        <v>60</v>
      </c>
      <c r="F49" s="261"/>
      <c r="G49" s="295">
        <f t="shared" si="3"/>
        <v>0</v>
      </c>
      <c r="H49" s="425"/>
      <c r="I49" s="416"/>
      <c r="J49" s="487"/>
      <c r="K49" s="416"/>
      <c r="L49" s="416"/>
      <c r="M49" s="415"/>
      <c r="N49" s="415">
        <f t="shared" si="1"/>
        <v>0</v>
      </c>
      <c r="O49" s="415">
        <f t="shared" si="2"/>
        <v>0</v>
      </c>
      <c r="P49" s="444"/>
      <c r="Q49" s="444"/>
      <c r="R49" s="299" t="s">
        <v>335</v>
      </c>
      <c r="S49" s="250"/>
    </row>
    <row r="50" spans="1:19" ht="31" x14ac:dyDescent="0.35">
      <c r="A50" s="283">
        <v>43</v>
      </c>
      <c r="B50" s="205">
        <v>347347001</v>
      </c>
      <c r="C50" s="197" t="s">
        <v>106</v>
      </c>
      <c r="D50" s="197" t="s">
        <v>107</v>
      </c>
      <c r="E50" s="205" t="s">
        <v>60</v>
      </c>
      <c r="F50" s="261">
        <v>100000</v>
      </c>
      <c r="G50" s="295">
        <f t="shared" si="3"/>
        <v>8700000</v>
      </c>
      <c r="H50" s="425"/>
      <c r="I50" s="416">
        <v>22277.5</v>
      </c>
      <c r="J50" s="487"/>
      <c r="K50" s="416">
        <f>1307+11563+103.58</f>
        <v>12973.58</v>
      </c>
      <c r="L50" s="416"/>
      <c r="M50" s="415"/>
      <c r="N50" s="415">
        <f t="shared" si="1"/>
        <v>35251.08</v>
      </c>
      <c r="O50" s="415">
        <f t="shared" si="2"/>
        <v>64748.92</v>
      </c>
      <c r="P50" s="444" t="s">
        <v>917</v>
      </c>
      <c r="Q50" s="444" t="s">
        <v>918</v>
      </c>
      <c r="R50" s="299" t="s">
        <v>301</v>
      </c>
      <c r="S50" s="250"/>
    </row>
    <row r="51" spans="1:19" ht="151.5" customHeight="1" x14ac:dyDescent="0.35">
      <c r="A51" s="283">
        <v>44</v>
      </c>
      <c r="B51" s="205">
        <v>355355001</v>
      </c>
      <c r="C51" s="197" t="s">
        <v>108</v>
      </c>
      <c r="D51" s="197" t="s">
        <v>309</v>
      </c>
      <c r="E51" s="197" t="s">
        <v>60</v>
      </c>
      <c r="F51" s="309">
        <v>100000</v>
      </c>
      <c r="G51" s="295">
        <f t="shared" si="3"/>
        <v>8700000</v>
      </c>
      <c r="H51" s="425"/>
      <c r="I51" s="416">
        <v>24510</v>
      </c>
      <c r="J51" s="487"/>
      <c r="K51" s="416"/>
      <c r="L51" s="416"/>
      <c r="M51" s="415"/>
      <c r="N51" s="415">
        <f t="shared" si="1"/>
        <v>24510</v>
      </c>
      <c r="O51" s="415">
        <f t="shared" si="2"/>
        <v>75490</v>
      </c>
      <c r="P51" s="444" t="s">
        <v>889</v>
      </c>
      <c r="Q51" s="444" t="s">
        <v>890</v>
      </c>
      <c r="R51" s="299" t="s">
        <v>302</v>
      </c>
      <c r="S51" s="250"/>
    </row>
    <row r="52" spans="1:19" ht="36.75" customHeight="1" x14ac:dyDescent="0.35">
      <c r="A52" s="283">
        <v>45</v>
      </c>
      <c r="B52" s="205">
        <v>454042010</v>
      </c>
      <c r="C52" s="197" t="s">
        <v>266</v>
      </c>
      <c r="D52" s="197" t="s">
        <v>273</v>
      </c>
      <c r="E52" s="205" t="s">
        <v>448</v>
      </c>
      <c r="F52" s="261">
        <v>17000</v>
      </c>
      <c r="G52" s="295">
        <f t="shared" si="3"/>
        <v>1479000</v>
      </c>
      <c r="H52" s="425"/>
      <c r="I52" s="416"/>
      <c r="J52" s="487">
        <v>13376</v>
      </c>
      <c r="K52" s="416"/>
      <c r="L52" s="416"/>
      <c r="M52" s="415"/>
      <c r="N52" s="415">
        <f t="shared" si="1"/>
        <v>153.69024000000002</v>
      </c>
      <c r="O52" s="415">
        <f t="shared" si="2"/>
        <v>16846.30976</v>
      </c>
      <c r="P52" s="444" t="s">
        <v>907</v>
      </c>
      <c r="Q52" s="606" t="s">
        <v>908</v>
      </c>
      <c r="R52" s="299" t="s">
        <v>540</v>
      </c>
      <c r="S52" s="250"/>
    </row>
    <row r="53" spans="1:19" ht="77.5" x14ac:dyDescent="0.35">
      <c r="A53" s="283">
        <v>46</v>
      </c>
      <c r="B53" s="205">
        <v>365042001</v>
      </c>
      <c r="C53" s="197" t="s">
        <v>267</v>
      </c>
      <c r="D53" s="197" t="s">
        <v>420</v>
      </c>
      <c r="E53" s="205" t="s">
        <v>449</v>
      </c>
      <c r="F53" s="261">
        <v>75000</v>
      </c>
      <c r="G53" s="295">
        <f t="shared" si="3"/>
        <v>6525000</v>
      </c>
      <c r="H53" s="425">
        <v>401626</v>
      </c>
      <c r="I53" s="416"/>
      <c r="J53" s="487"/>
      <c r="K53" s="416">
        <v>1065</v>
      </c>
      <c r="L53" s="416"/>
      <c r="M53" s="415"/>
      <c r="N53" s="415">
        <f t="shared" si="1"/>
        <v>109504.02</v>
      </c>
      <c r="O53" s="415">
        <f t="shared" si="2"/>
        <v>-34504.020000000004</v>
      </c>
      <c r="P53" s="444" t="s">
        <v>929</v>
      </c>
      <c r="Q53" s="444" t="s">
        <v>930</v>
      </c>
      <c r="R53" s="299" t="s">
        <v>327</v>
      </c>
      <c r="S53" s="250"/>
    </row>
    <row r="54" spans="1:19" ht="31" x14ac:dyDescent="0.35">
      <c r="A54" s="283">
        <v>47</v>
      </c>
      <c r="B54" s="205"/>
      <c r="C54" s="197" t="s">
        <v>111</v>
      </c>
      <c r="D54" s="197" t="s">
        <v>112</v>
      </c>
      <c r="E54" s="205" t="s">
        <v>76</v>
      </c>
      <c r="F54" s="300"/>
      <c r="G54" s="295">
        <f t="shared" si="3"/>
        <v>0</v>
      </c>
      <c r="H54" s="425"/>
      <c r="I54" s="416"/>
      <c r="J54" s="487"/>
      <c r="K54" s="416"/>
      <c r="L54" s="416"/>
      <c r="M54" s="415"/>
      <c r="N54" s="415">
        <f t="shared" si="1"/>
        <v>0</v>
      </c>
      <c r="O54" s="415">
        <f t="shared" si="2"/>
        <v>0</v>
      </c>
      <c r="P54" s="444"/>
      <c r="Q54" s="444"/>
      <c r="R54" s="299" t="s">
        <v>329</v>
      </c>
      <c r="S54" s="250"/>
    </row>
    <row r="55" spans="1:19" ht="15.5" x14ac:dyDescent="0.35">
      <c r="A55" s="283">
        <v>48</v>
      </c>
      <c r="B55" s="205"/>
      <c r="C55" s="197" t="s">
        <v>113</v>
      </c>
      <c r="D55" s="197" t="s">
        <v>114</v>
      </c>
      <c r="E55" s="205" t="s">
        <v>92</v>
      </c>
      <c r="F55" s="261"/>
      <c r="G55" s="295">
        <f t="shared" si="3"/>
        <v>0</v>
      </c>
      <c r="H55" s="425"/>
      <c r="I55" s="416"/>
      <c r="J55" s="487"/>
      <c r="K55" s="416"/>
      <c r="L55" s="416"/>
      <c r="M55" s="417"/>
      <c r="N55" s="415">
        <f t="shared" si="1"/>
        <v>0</v>
      </c>
      <c r="O55" s="415">
        <f t="shared" si="2"/>
        <v>0</v>
      </c>
      <c r="P55" s="444"/>
      <c r="Q55" s="444"/>
      <c r="R55" s="299" t="s">
        <v>483</v>
      </c>
      <c r="S55" s="250"/>
    </row>
    <row r="56" spans="1:19" ht="60.75" customHeight="1" x14ac:dyDescent="0.35">
      <c r="A56" s="283">
        <v>49</v>
      </c>
      <c r="B56" s="205"/>
      <c r="C56" s="197" t="s">
        <v>308</v>
      </c>
      <c r="D56" s="197" t="s">
        <v>528</v>
      </c>
      <c r="E56" s="205" t="s">
        <v>92</v>
      </c>
      <c r="F56" s="261">
        <v>100000</v>
      </c>
      <c r="G56" s="295">
        <f t="shared" si="3"/>
        <v>8700000</v>
      </c>
      <c r="H56" s="427">
        <f>162+695</f>
        <v>857</v>
      </c>
      <c r="I56" s="418"/>
      <c r="J56" s="489"/>
      <c r="K56" s="418">
        <f>3241+982</f>
        <v>4223</v>
      </c>
      <c r="L56" s="418"/>
      <c r="M56" s="418"/>
      <c r="N56" s="415">
        <f t="shared" si="1"/>
        <v>4454.3900000000003</v>
      </c>
      <c r="O56" s="415">
        <f t="shared" si="2"/>
        <v>95545.61</v>
      </c>
      <c r="P56" s="446" t="s">
        <v>841</v>
      </c>
      <c r="Q56" s="446" t="s">
        <v>842</v>
      </c>
      <c r="R56" s="310" t="s">
        <v>13</v>
      </c>
      <c r="S56" s="250"/>
    </row>
    <row r="57" spans="1:19" ht="77.150000000000006" customHeight="1" x14ac:dyDescent="0.35">
      <c r="A57" s="283">
        <v>50</v>
      </c>
      <c r="B57" s="205"/>
      <c r="C57" s="197" t="s">
        <v>305</v>
      </c>
      <c r="D57" s="197" t="s">
        <v>408</v>
      </c>
      <c r="E57" s="205" t="s">
        <v>92</v>
      </c>
      <c r="F57" s="261">
        <v>50000</v>
      </c>
      <c r="G57" s="295">
        <f t="shared" si="3"/>
        <v>4350000</v>
      </c>
      <c r="H57" s="425">
        <v>44584</v>
      </c>
      <c r="I57" s="416"/>
      <c r="J57" s="487">
        <v>2459645</v>
      </c>
      <c r="K57" s="416"/>
      <c r="L57" s="416"/>
      <c r="M57" s="415"/>
      <c r="N57" s="415">
        <f t="shared" si="1"/>
        <v>40299.001050000006</v>
      </c>
      <c r="O57" s="415">
        <f t="shared" si="2"/>
        <v>9700.9989499999938</v>
      </c>
      <c r="P57" s="444" t="s">
        <v>679</v>
      </c>
      <c r="Q57" s="444" t="s">
        <v>680</v>
      </c>
      <c r="R57" s="299" t="s">
        <v>13</v>
      </c>
      <c r="S57" s="250"/>
    </row>
    <row r="58" spans="1:19" ht="46.5" customHeight="1" x14ac:dyDescent="0.35">
      <c r="A58" s="283">
        <v>51</v>
      </c>
      <c r="B58" s="205"/>
      <c r="C58" s="197" t="s">
        <v>61</v>
      </c>
      <c r="D58" s="197" t="s">
        <v>115</v>
      </c>
      <c r="E58" s="205" t="s">
        <v>92</v>
      </c>
      <c r="F58" s="261">
        <v>20000</v>
      </c>
      <c r="G58" s="295">
        <f t="shared" si="3"/>
        <v>1740000</v>
      </c>
      <c r="H58" s="425">
        <v>5696</v>
      </c>
      <c r="I58" s="416">
        <v>14480</v>
      </c>
      <c r="J58" s="487">
        <v>37830</v>
      </c>
      <c r="K58" s="416"/>
      <c r="L58" s="416"/>
      <c r="M58" s="415"/>
      <c r="N58" s="415">
        <f t="shared" si="1"/>
        <v>16452.5867</v>
      </c>
      <c r="O58" s="415">
        <f t="shared" si="2"/>
        <v>3547.4133000000002</v>
      </c>
      <c r="P58" s="444" t="s">
        <v>575</v>
      </c>
      <c r="Q58" s="444" t="s">
        <v>576</v>
      </c>
      <c r="R58" s="299" t="s">
        <v>13</v>
      </c>
      <c r="S58" s="250"/>
    </row>
    <row r="59" spans="1:19" ht="29" x14ac:dyDescent="0.35">
      <c r="A59" s="283">
        <v>52</v>
      </c>
      <c r="B59" s="205"/>
      <c r="C59" s="197" t="s">
        <v>61</v>
      </c>
      <c r="D59" s="219" t="s">
        <v>403</v>
      </c>
      <c r="E59" s="205" t="s">
        <v>120</v>
      </c>
      <c r="F59" s="261">
        <v>5000</v>
      </c>
      <c r="G59" s="295">
        <f t="shared" si="3"/>
        <v>435000</v>
      </c>
      <c r="H59" s="425"/>
      <c r="I59" s="416"/>
      <c r="J59" s="487"/>
      <c r="K59" s="416"/>
      <c r="L59" s="416"/>
      <c r="M59" s="415"/>
      <c r="N59" s="415">
        <f t="shared" si="1"/>
        <v>0</v>
      </c>
      <c r="O59" s="415">
        <f t="shared" si="2"/>
        <v>5000</v>
      </c>
      <c r="P59" s="444"/>
      <c r="Q59" s="444"/>
      <c r="R59" s="299" t="s">
        <v>13</v>
      </c>
      <c r="S59" s="250"/>
    </row>
    <row r="60" spans="1:19" ht="93" customHeight="1" x14ac:dyDescent="0.35">
      <c r="A60" s="283">
        <v>53</v>
      </c>
      <c r="B60" s="205"/>
      <c r="C60" s="197" t="s">
        <v>61</v>
      </c>
      <c r="D60" s="219" t="s">
        <v>412</v>
      </c>
      <c r="E60" s="205" t="s">
        <v>120</v>
      </c>
      <c r="F60" s="261">
        <v>5000</v>
      </c>
      <c r="G60" s="295">
        <f t="shared" si="3"/>
        <v>435000</v>
      </c>
      <c r="H60" s="425">
        <f>7935.36+4015</f>
        <v>11950.36</v>
      </c>
      <c r="I60" s="416"/>
      <c r="J60" s="487"/>
      <c r="K60" s="416"/>
      <c r="L60" s="416"/>
      <c r="M60" s="415"/>
      <c r="N60" s="415">
        <f t="shared" si="1"/>
        <v>3226.5972000000002</v>
      </c>
      <c r="O60" s="415">
        <f t="shared" si="2"/>
        <v>1773.4027999999998</v>
      </c>
      <c r="P60" s="444" t="s">
        <v>819</v>
      </c>
      <c r="Q60" s="444" t="s">
        <v>820</v>
      </c>
      <c r="R60" s="299" t="s">
        <v>13</v>
      </c>
      <c r="S60" s="250"/>
    </row>
    <row r="61" spans="1:19" ht="35.25" customHeight="1" x14ac:dyDescent="0.35">
      <c r="A61" s="283">
        <v>52</v>
      </c>
      <c r="B61" s="205"/>
      <c r="C61" s="199" t="s">
        <v>74</v>
      </c>
      <c r="D61" s="199" t="s">
        <v>78</v>
      </c>
      <c r="E61" s="311" t="s">
        <v>60</v>
      </c>
      <c r="F61" s="298"/>
      <c r="G61" s="295">
        <f t="shared" si="3"/>
        <v>0</v>
      </c>
      <c r="H61" s="425"/>
      <c r="I61" s="416"/>
      <c r="J61" s="487"/>
      <c r="K61" s="416"/>
      <c r="L61" s="416"/>
      <c r="M61" s="415"/>
      <c r="N61" s="415">
        <f t="shared" si="1"/>
        <v>0</v>
      </c>
      <c r="O61" s="415">
        <f t="shared" si="2"/>
        <v>0</v>
      </c>
      <c r="P61" s="444"/>
      <c r="Q61" s="444"/>
      <c r="R61" s="312" t="s">
        <v>360</v>
      </c>
      <c r="S61" s="250"/>
    </row>
    <row r="62" spans="1:19" ht="35.25" customHeight="1" x14ac:dyDescent="0.35">
      <c r="A62" s="679" t="s">
        <v>15</v>
      </c>
      <c r="B62" s="680"/>
      <c r="C62" s="680"/>
      <c r="D62" s="680"/>
      <c r="E62" s="680"/>
      <c r="F62" s="313">
        <f>SUM(F4:F61)</f>
        <v>6475383.5600000005</v>
      </c>
      <c r="G62" s="279">
        <f>SUM(G4:G61)</f>
        <v>563358369.72000003</v>
      </c>
      <c r="H62" s="428"/>
      <c r="I62" s="419"/>
      <c r="J62" s="490"/>
      <c r="K62" s="419"/>
      <c r="L62" s="419"/>
      <c r="M62" s="419">
        <f>SUM(M4:M61)</f>
        <v>0</v>
      </c>
      <c r="N62" s="419">
        <f>SUM(N4:N61)</f>
        <v>6527134.031969999</v>
      </c>
      <c r="O62" s="419">
        <f>F62-N62</f>
        <v>-51750.471969998442</v>
      </c>
      <c r="P62" s="447"/>
      <c r="Q62" s="447"/>
      <c r="R62" s="314"/>
      <c r="S62" s="293"/>
    </row>
    <row r="63" spans="1:19" x14ac:dyDescent="0.35">
      <c r="B63" s="9"/>
      <c r="C63" s="10"/>
      <c r="D63" s="200"/>
      <c r="E63" s="9"/>
      <c r="F63" s="71"/>
      <c r="G63" s="71"/>
      <c r="H63" s="429"/>
      <c r="I63" s="420"/>
      <c r="J63" s="491"/>
      <c r="K63" s="420"/>
      <c r="L63" s="420"/>
      <c r="M63" s="420"/>
      <c r="N63" s="420"/>
      <c r="O63" s="420"/>
      <c r="P63" s="448"/>
      <c r="Q63" s="448"/>
      <c r="R63" s="10"/>
    </row>
    <row r="64" spans="1:19" x14ac:dyDescent="0.35">
      <c r="B64" s="9"/>
      <c r="C64" s="10"/>
      <c r="D64" s="200"/>
      <c r="E64" s="9"/>
      <c r="F64" s="71"/>
      <c r="G64" s="71"/>
      <c r="H64" s="429"/>
      <c r="I64" s="420"/>
      <c r="J64" s="491"/>
      <c r="K64" s="420"/>
      <c r="L64" s="420"/>
      <c r="M64" s="420"/>
      <c r="N64" s="420"/>
      <c r="O64" s="420"/>
      <c r="P64" s="448"/>
      <c r="Q64" s="448"/>
      <c r="R64" s="10"/>
    </row>
  </sheetData>
  <mergeCells count="15">
    <mergeCell ref="A1:S1"/>
    <mergeCell ref="A36:A37"/>
    <mergeCell ref="D36:D37"/>
    <mergeCell ref="C36:C37"/>
    <mergeCell ref="A62:E62"/>
    <mergeCell ref="S18:S19"/>
    <mergeCell ref="A26:A27"/>
    <mergeCell ref="C26:C27"/>
    <mergeCell ref="C2:G2"/>
    <mergeCell ref="A11:A12"/>
    <mergeCell ref="D11:D12"/>
    <mergeCell ref="B11:B12"/>
    <mergeCell ref="B7:B8"/>
    <mergeCell ref="A7:A8"/>
    <mergeCell ref="C11:C12"/>
  </mergeCells>
  <conditionalFormatting sqref="O4:O61">
    <cfRule type="cellIs" dxfId="12" priority="1" operator="lessThan">
      <formula>0</formula>
    </cfRule>
    <cfRule type="cellIs" dxfId="11" priority="2" operator="greaterThan">
      <formula>0</formula>
    </cfRule>
  </conditionalFormatting>
  <pageMargins left="0.7" right="0.7" top="0.75" bottom="0.75" header="0.3" footer="0.3"/>
  <pageSetup paperSize="9" scale="9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3"/>
  <sheetViews>
    <sheetView showGridLines="0" zoomScale="87" zoomScaleNormal="87" workbookViewId="0">
      <pane ySplit="3" topLeftCell="A4" activePane="bottomLeft" state="frozen"/>
      <selection pane="bottomLeft" activeCell="J4" sqref="J4"/>
    </sheetView>
  </sheetViews>
  <sheetFormatPr defaultRowHeight="14.5" x14ac:dyDescent="0.35"/>
  <cols>
    <col min="1" max="1" width="9.1796875" style="201"/>
    <col min="2" max="2" width="12.81640625" style="201" hidden="1" customWidth="1"/>
    <col min="3" max="3" width="18.7265625" style="201" bestFit="1" customWidth="1"/>
    <col min="4" max="4" width="81.26953125" style="201" customWidth="1"/>
    <col min="5" max="5" width="13.453125" style="201" customWidth="1"/>
    <col min="6" max="6" width="20.54296875" style="201" customWidth="1"/>
    <col min="7" max="7" width="25.26953125" style="201" customWidth="1"/>
    <col min="8" max="8" width="20.54296875" style="349" customWidth="1"/>
    <col min="9" max="9" width="20.54296875" style="201" customWidth="1"/>
    <col min="10" max="10" width="20.54296875" style="473" customWidth="1"/>
    <col min="11" max="14" width="20.54296875" style="201" customWidth="1"/>
    <col min="15" max="15" width="33.81640625" style="201" customWidth="1"/>
    <col min="16" max="16" width="29.81640625" style="201" customWidth="1"/>
    <col min="17" max="17" width="46.26953125" style="201" customWidth="1"/>
  </cols>
  <sheetData>
    <row r="1" spans="1:17" s="289" customFormat="1" ht="41.25" customHeight="1" thickBot="1" x14ac:dyDescent="0.4">
      <c r="A1" s="365" t="s">
        <v>349</v>
      </c>
      <c r="B1" s="366"/>
      <c r="C1" s="366"/>
      <c r="D1" s="366"/>
      <c r="E1" s="366"/>
      <c r="F1" s="366"/>
      <c r="G1" s="366"/>
      <c r="H1" s="368"/>
      <c r="I1" s="366"/>
      <c r="J1" s="498"/>
      <c r="K1" s="366"/>
      <c r="L1" s="366"/>
      <c r="M1" s="366"/>
      <c r="N1" s="366"/>
      <c r="O1" s="366"/>
      <c r="P1" s="366"/>
      <c r="Q1" s="367"/>
    </row>
    <row r="2" spans="1:17" s="289" customFormat="1" ht="44.25" customHeight="1" x14ac:dyDescent="0.35">
      <c r="A2" s="212" t="s">
        <v>116</v>
      </c>
      <c r="B2" s="281"/>
      <c r="C2" s="350" t="s">
        <v>117</v>
      </c>
      <c r="D2" s="351"/>
      <c r="E2" s="351"/>
      <c r="F2" s="351"/>
      <c r="G2" s="351"/>
      <c r="H2" s="353"/>
      <c r="I2" s="351"/>
      <c r="J2" s="474"/>
      <c r="K2" s="351"/>
      <c r="L2" s="351"/>
      <c r="M2" s="351"/>
      <c r="N2" s="351"/>
      <c r="O2" s="351"/>
      <c r="P2" s="351"/>
      <c r="Q2" s="290"/>
    </row>
    <row r="3" spans="1:17" s="289" customFormat="1" ht="43.5" x14ac:dyDescent="0.35">
      <c r="A3" s="240" t="s">
        <v>2</v>
      </c>
      <c r="B3" s="240" t="s">
        <v>278</v>
      </c>
      <c r="C3" s="241" t="s">
        <v>55</v>
      </c>
      <c r="D3" s="240" t="s">
        <v>56</v>
      </c>
      <c r="E3" s="241" t="s">
        <v>57</v>
      </c>
      <c r="F3" s="241" t="s">
        <v>58</v>
      </c>
      <c r="G3" s="241" t="s">
        <v>341</v>
      </c>
      <c r="H3" s="354" t="s">
        <v>695</v>
      </c>
      <c r="I3" s="338" t="s">
        <v>694</v>
      </c>
      <c r="J3" s="475" t="s">
        <v>689</v>
      </c>
      <c r="K3" s="433" t="s">
        <v>600</v>
      </c>
      <c r="L3" s="571" t="s">
        <v>767</v>
      </c>
      <c r="M3" s="504" t="s">
        <v>718</v>
      </c>
      <c r="N3" s="437" t="s">
        <v>721</v>
      </c>
      <c r="O3" s="338" t="s">
        <v>555</v>
      </c>
      <c r="P3" s="338" t="s">
        <v>526</v>
      </c>
      <c r="Q3" s="240" t="s">
        <v>6</v>
      </c>
    </row>
    <row r="4" spans="1:17" ht="176.5" customHeight="1" x14ac:dyDescent="0.35">
      <c r="A4" s="205">
        <v>1</v>
      </c>
      <c r="B4" s="205">
        <v>65160000</v>
      </c>
      <c r="C4" s="197" t="s">
        <v>118</v>
      </c>
      <c r="D4" s="197" t="s">
        <v>339</v>
      </c>
      <c r="E4" s="205" t="s">
        <v>92</v>
      </c>
      <c r="F4" s="250">
        <f>(191999*3)+150000+60000</f>
        <v>785997</v>
      </c>
      <c r="G4" s="282">
        <f>F4*87</f>
        <v>68381739</v>
      </c>
      <c r="H4" s="349">
        <v>4637</v>
      </c>
      <c r="I4" s="341"/>
      <c r="J4" s="479">
        <v>12404</v>
      </c>
      <c r="K4" s="434">
        <f>254422.63*3 + 144071.18 +92834+5912+10904.9+1769+5262</f>
        <v>1024020.9700000001</v>
      </c>
      <c r="L4" s="572"/>
      <c r="M4" s="505">
        <f>H4*0.27+I4+J4*0.01149+K4</f>
        <v>1025415.4819600001</v>
      </c>
      <c r="N4" s="505">
        <f>F4-M4</f>
        <v>-239418.48196000012</v>
      </c>
      <c r="O4" s="275" t="s">
        <v>937</v>
      </c>
      <c r="P4" s="275" t="s">
        <v>938</v>
      </c>
      <c r="Q4" s="197" t="s">
        <v>537</v>
      </c>
    </row>
    <row r="5" spans="1:17" ht="55.5" customHeight="1" x14ac:dyDescent="0.35">
      <c r="A5" s="283">
        <v>2</v>
      </c>
      <c r="B5" s="283">
        <v>651620020</v>
      </c>
      <c r="C5" s="196" t="s">
        <v>119</v>
      </c>
      <c r="D5" s="197" t="s">
        <v>518</v>
      </c>
      <c r="E5" s="205" t="s">
        <v>120</v>
      </c>
      <c r="F5" s="284">
        <v>50000</v>
      </c>
      <c r="G5" s="282"/>
      <c r="H5" s="369"/>
      <c r="I5" s="284">
        <f>63429+6036</f>
        <v>69465</v>
      </c>
      <c r="J5" s="499"/>
      <c r="K5" s="284"/>
      <c r="L5" s="284"/>
      <c r="M5" s="595">
        <f t="shared" ref="M5:M32" si="0">H5*0.27+I5+J5*0.01149+K5</f>
        <v>69465</v>
      </c>
      <c r="N5" s="505">
        <f t="shared" ref="N5:N32" si="1">F5-M5</f>
        <v>-19465</v>
      </c>
      <c r="O5" s="569" t="s">
        <v>807</v>
      </c>
      <c r="P5" s="569" t="s">
        <v>808</v>
      </c>
      <c r="Q5" s="285" t="s">
        <v>469</v>
      </c>
    </row>
    <row r="6" spans="1:17" ht="49.5" customHeight="1" x14ac:dyDescent="0.35">
      <c r="A6" s="205">
        <v>3</v>
      </c>
      <c r="B6" s="205">
        <v>651620011</v>
      </c>
      <c r="C6" s="197" t="s">
        <v>121</v>
      </c>
      <c r="D6" s="126" t="s">
        <v>393</v>
      </c>
      <c r="E6" s="271" t="s">
        <v>120</v>
      </c>
      <c r="F6" s="265">
        <v>100000</v>
      </c>
      <c r="G6" s="282"/>
      <c r="H6" s="355">
        <v>1862</v>
      </c>
      <c r="I6" s="265"/>
      <c r="J6" s="266"/>
      <c r="K6" s="265">
        <v>29966.17</v>
      </c>
      <c r="L6" s="265"/>
      <c r="M6" s="595">
        <f t="shared" si="0"/>
        <v>30468.91</v>
      </c>
      <c r="N6" s="505">
        <f t="shared" si="1"/>
        <v>69531.09</v>
      </c>
      <c r="O6" s="259" t="s">
        <v>647</v>
      </c>
      <c r="P6" s="259" t="s">
        <v>648</v>
      </c>
      <c r="Q6" s="285" t="s">
        <v>469</v>
      </c>
    </row>
    <row r="7" spans="1:17" ht="29.25" customHeight="1" x14ac:dyDescent="0.35">
      <c r="A7" s="205">
        <v>4</v>
      </c>
      <c r="B7" s="205">
        <v>651620011</v>
      </c>
      <c r="C7" s="197" t="s">
        <v>121</v>
      </c>
      <c r="D7" s="286" t="s">
        <v>122</v>
      </c>
      <c r="E7" s="271" t="s">
        <v>120</v>
      </c>
      <c r="F7" s="269">
        <v>25000</v>
      </c>
      <c r="G7" s="282"/>
      <c r="H7" s="358">
        <v>6500</v>
      </c>
      <c r="I7" s="269"/>
      <c r="J7" s="478"/>
      <c r="K7" s="269">
        <v>8250</v>
      </c>
      <c r="L7" s="269"/>
      <c r="M7" s="595">
        <f t="shared" si="0"/>
        <v>10005</v>
      </c>
      <c r="N7" s="505">
        <f t="shared" si="1"/>
        <v>14995</v>
      </c>
      <c r="O7" s="605" t="s">
        <v>903</v>
      </c>
      <c r="P7" s="605" t="s">
        <v>904</v>
      </c>
      <c r="Q7" s="285" t="s">
        <v>469</v>
      </c>
    </row>
    <row r="8" spans="1:17" ht="33.75" customHeight="1" x14ac:dyDescent="0.35">
      <c r="A8" s="205">
        <v>5</v>
      </c>
      <c r="B8" s="205">
        <v>651620011</v>
      </c>
      <c r="C8" s="197" t="s">
        <v>121</v>
      </c>
      <c r="D8" s="126" t="s">
        <v>123</v>
      </c>
      <c r="E8" s="271" t="s">
        <v>120</v>
      </c>
      <c r="F8" s="269">
        <v>10000</v>
      </c>
      <c r="G8" s="282"/>
      <c r="H8" s="358"/>
      <c r="I8" s="269"/>
      <c r="J8" s="478"/>
      <c r="K8" s="269"/>
      <c r="L8" s="269"/>
      <c r="M8" s="595">
        <f t="shared" si="0"/>
        <v>0</v>
      </c>
      <c r="N8" s="505">
        <f t="shared" si="1"/>
        <v>10000</v>
      </c>
      <c r="O8" s="269"/>
      <c r="P8" s="269"/>
      <c r="Q8" s="285" t="s">
        <v>469</v>
      </c>
    </row>
    <row r="9" spans="1:17" ht="157.5" customHeight="1" x14ac:dyDescent="0.35">
      <c r="A9" s="205">
        <v>6</v>
      </c>
      <c r="B9" s="205"/>
      <c r="C9" s="287" t="s">
        <v>124</v>
      </c>
      <c r="D9" s="197" t="s">
        <v>125</v>
      </c>
      <c r="E9" s="197" t="s">
        <v>389</v>
      </c>
      <c r="F9" s="276">
        <v>50000</v>
      </c>
      <c r="G9" s="282"/>
      <c r="H9" s="362">
        <f>1298+1815</f>
        <v>3113</v>
      </c>
      <c r="I9" s="276"/>
      <c r="J9" s="483"/>
      <c r="K9" s="276">
        <f>36072+80652+123</f>
        <v>116847</v>
      </c>
      <c r="L9" s="276"/>
      <c r="M9" s="595">
        <f t="shared" si="0"/>
        <v>117687.51</v>
      </c>
      <c r="N9" s="505">
        <f t="shared" si="1"/>
        <v>-67687.509999999995</v>
      </c>
      <c r="O9" s="451" t="s">
        <v>915</v>
      </c>
      <c r="P9" s="451" t="s">
        <v>916</v>
      </c>
      <c r="Q9" s="285" t="s">
        <v>469</v>
      </c>
    </row>
    <row r="10" spans="1:17" ht="41.5" customHeight="1" x14ac:dyDescent="0.35">
      <c r="A10" s="205">
        <v>7</v>
      </c>
      <c r="B10" s="205"/>
      <c r="C10" s="197" t="s">
        <v>279</v>
      </c>
      <c r="D10" s="197" t="s">
        <v>394</v>
      </c>
      <c r="E10" s="205" t="s">
        <v>120</v>
      </c>
      <c r="F10" s="248">
        <v>50000</v>
      </c>
      <c r="G10" s="282"/>
      <c r="H10" s="346">
        <v>144</v>
      </c>
      <c r="I10" s="248"/>
      <c r="J10" s="481"/>
      <c r="K10" s="248">
        <f>3496.27+2520</f>
        <v>6016.27</v>
      </c>
      <c r="L10" s="248"/>
      <c r="M10" s="595">
        <f t="shared" si="0"/>
        <v>6055.1500000000005</v>
      </c>
      <c r="N10" s="505">
        <f t="shared" si="1"/>
        <v>43944.85</v>
      </c>
      <c r="O10" s="451" t="s">
        <v>927</v>
      </c>
      <c r="P10" s="451" t="s">
        <v>928</v>
      </c>
      <c r="Q10" s="285" t="s">
        <v>469</v>
      </c>
    </row>
    <row r="11" spans="1:17" ht="30" customHeight="1" x14ac:dyDescent="0.35">
      <c r="A11" s="205">
        <v>8</v>
      </c>
      <c r="B11" s="205">
        <v>803047001</v>
      </c>
      <c r="C11" s="197" t="s">
        <v>126</v>
      </c>
      <c r="D11" s="197" t="s">
        <v>127</v>
      </c>
      <c r="E11" s="205" t="s">
        <v>120</v>
      </c>
      <c r="F11" s="257">
        <v>25000</v>
      </c>
      <c r="G11" s="282"/>
      <c r="H11" s="370">
        <v>2730</v>
      </c>
      <c r="I11" s="257"/>
      <c r="J11" s="500"/>
      <c r="K11" s="257"/>
      <c r="L11" s="257"/>
      <c r="M11" s="595">
        <f t="shared" si="0"/>
        <v>737.1</v>
      </c>
      <c r="N11" s="505">
        <f t="shared" si="1"/>
        <v>24262.9</v>
      </c>
      <c r="O11" s="257" t="s">
        <v>560</v>
      </c>
      <c r="P11" s="257" t="s">
        <v>561</v>
      </c>
      <c r="Q11" s="285" t="s">
        <v>469</v>
      </c>
    </row>
    <row r="12" spans="1:17" ht="30" customHeight="1" x14ac:dyDescent="0.35">
      <c r="A12" s="205">
        <v>9</v>
      </c>
      <c r="B12" s="205">
        <v>702045001</v>
      </c>
      <c r="C12" s="197" t="s">
        <v>126</v>
      </c>
      <c r="D12" s="197" t="s">
        <v>395</v>
      </c>
      <c r="E12" s="271" t="s">
        <v>120</v>
      </c>
      <c r="F12" s="257">
        <v>25000</v>
      </c>
      <c r="G12" s="282"/>
      <c r="H12" s="370"/>
      <c r="I12" s="257"/>
      <c r="J12" s="500"/>
      <c r="K12" s="257">
        <v>2245</v>
      </c>
      <c r="L12" s="257"/>
      <c r="M12" s="595">
        <f t="shared" si="0"/>
        <v>2245</v>
      </c>
      <c r="N12" s="505">
        <f t="shared" si="1"/>
        <v>22755</v>
      </c>
      <c r="O12" s="257" t="s">
        <v>624</v>
      </c>
      <c r="P12" s="257" t="s">
        <v>625</v>
      </c>
      <c r="Q12" s="285" t="s">
        <v>469</v>
      </c>
    </row>
    <row r="13" spans="1:17" ht="30" customHeight="1" x14ac:dyDescent="0.35">
      <c r="A13" s="675">
        <v>10</v>
      </c>
      <c r="B13" s="675">
        <v>721047001</v>
      </c>
      <c r="C13" s="677" t="s">
        <v>280</v>
      </c>
      <c r="D13" s="197" t="s">
        <v>128</v>
      </c>
      <c r="E13" s="205" t="s">
        <v>92</v>
      </c>
      <c r="F13" s="248">
        <v>10000</v>
      </c>
      <c r="G13" s="282"/>
      <c r="H13" s="346">
        <v>4320</v>
      </c>
      <c r="I13" s="248"/>
      <c r="J13" s="481"/>
      <c r="K13" s="248">
        <v>7049.85</v>
      </c>
      <c r="L13" s="248"/>
      <c r="M13" s="595">
        <f t="shared" si="0"/>
        <v>8216.25</v>
      </c>
      <c r="N13" s="505">
        <f t="shared" si="1"/>
        <v>1783.75</v>
      </c>
      <c r="O13" s="451" t="s">
        <v>799</v>
      </c>
      <c r="P13" s="451" t="s">
        <v>800</v>
      </c>
      <c r="Q13" s="285" t="s">
        <v>469</v>
      </c>
    </row>
    <row r="14" spans="1:17" ht="30" customHeight="1" x14ac:dyDescent="0.35">
      <c r="A14" s="682"/>
      <c r="B14" s="682"/>
      <c r="C14" s="683"/>
      <c r="D14" s="197" t="s">
        <v>271</v>
      </c>
      <c r="E14" s="205"/>
      <c r="F14" s="248"/>
      <c r="G14" s="282"/>
      <c r="H14" s="346"/>
      <c r="I14" s="248"/>
      <c r="J14" s="481"/>
      <c r="K14" s="248"/>
      <c r="L14" s="248"/>
      <c r="M14" s="595">
        <f t="shared" si="0"/>
        <v>0</v>
      </c>
      <c r="N14" s="505">
        <f t="shared" si="1"/>
        <v>0</v>
      </c>
      <c r="O14" s="248"/>
      <c r="P14" s="248"/>
      <c r="Q14" s="285" t="s">
        <v>469</v>
      </c>
    </row>
    <row r="15" spans="1:17" ht="30" customHeight="1" x14ac:dyDescent="0.35">
      <c r="A15" s="205">
        <v>12</v>
      </c>
      <c r="B15" s="205">
        <v>444047001</v>
      </c>
      <c r="C15" s="197" t="s">
        <v>126</v>
      </c>
      <c r="D15" s="197" t="s">
        <v>129</v>
      </c>
      <c r="E15" s="205" t="s">
        <v>120</v>
      </c>
      <c r="F15" s="248">
        <v>10000</v>
      </c>
      <c r="G15" s="282"/>
      <c r="H15" s="346">
        <v>8785</v>
      </c>
      <c r="I15" s="248"/>
      <c r="J15" s="481">
        <v>850000</v>
      </c>
      <c r="K15" s="248"/>
      <c r="L15" s="248"/>
      <c r="M15" s="595">
        <f t="shared" si="0"/>
        <v>12138.45</v>
      </c>
      <c r="N15" s="505">
        <f t="shared" si="1"/>
        <v>-2138.4500000000007</v>
      </c>
      <c r="O15" s="451" t="s">
        <v>696</v>
      </c>
      <c r="P15" s="451" t="s">
        <v>697</v>
      </c>
      <c r="Q15" s="285" t="s">
        <v>469</v>
      </c>
    </row>
    <row r="16" spans="1:17" ht="30" customHeight="1" x14ac:dyDescent="0.35">
      <c r="A16" s="205">
        <v>13</v>
      </c>
      <c r="B16" s="205">
        <v>445074001</v>
      </c>
      <c r="C16" s="197" t="s">
        <v>126</v>
      </c>
      <c r="D16" s="197" t="s">
        <v>130</v>
      </c>
      <c r="E16" s="205" t="s">
        <v>120</v>
      </c>
      <c r="F16" s="248">
        <v>10000</v>
      </c>
      <c r="G16" s="282"/>
      <c r="H16" s="346"/>
      <c r="I16" s="248"/>
      <c r="J16" s="481"/>
      <c r="K16" s="248"/>
      <c r="L16" s="248"/>
      <c r="M16" s="595">
        <f t="shared" si="0"/>
        <v>0</v>
      </c>
      <c r="N16" s="505">
        <f t="shared" si="1"/>
        <v>10000</v>
      </c>
      <c r="O16" s="248"/>
      <c r="P16" s="248"/>
      <c r="Q16" s="285" t="s">
        <v>469</v>
      </c>
    </row>
    <row r="17" spans="1:17" ht="30" customHeight="1" x14ac:dyDescent="0.35">
      <c r="A17" s="205">
        <v>14</v>
      </c>
      <c r="B17" s="205"/>
      <c r="C17" s="197" t="s">
        <v>126</v>
      </c>
      <c r="D17" s="197" t="s">
        <v>131</v>
      </c>
      <c r="E17" s="205" t="s">
        <v>120</v>
      </c>
      <c r="F17" s="288">
        <v>10000</v>
      </c>
      <c r="G17" s="282"/>
      <c r="H17" s="371"/>
      <c r="K17" s="288">
        <v>15834.74</v>
      </c>
      <c r="L17" s="288"/>
      <c r="M17" s="595">
        <f t="shared" si="0"/>
        <v>15834.74</v>
      </c>
      <c r="N17" s="505">
        <f t="shared" si="1"/>
        <v>-5834.74</v>
      </c>
      <c r="O17" s="288" t="s">
        <v>662</v>
      </c>
      <c r="P17" s="288" t="s">
        <v>663</v>
      </c>
      <c r="Q17" s="285" t="s">
        <v>469</v>
      </c>
    </row>
    <row r="18" spans="1:17" ht="30" customHeight="1" x14ac:dyDescent="0.35">
      <c r="A18" s="205">
        <v>15</v>
      </c>
      <c r="B18" s="205">
        <v>301301001</v>
      </c>
      <c r="C18" s="197" t="s">
        <v>74</v>
      </c>
      <c r="D18" s="126" t="s">
        <v>396</v>
      </c>
      <c r="E18" s="205" t="s">
        <v>120</v>
      </c>
      <c r="F18" s="257">
        <v>25000</v>
      </c>
      <c r="G18" s="282"/>
      <c r="H18" s="370">
        <v>8727</v>
      </c>
      <c r="I18" s="257"/>
      <c r="J18" s="500"/>
      <c r="K18" s="257"/>
      <c r="L18" s="257"/>
      <c r="M18" s="595">
        <f t="shared" si="0"/>
        <v>2356.29</v>
      </c>
      <c r="N18" s="505">
        <f t="shared" si="1"/>
        <v>22643.71</v>
      </c>
      <c r="O18" s="555" t="s">
        <v>727</v>
      </c>
      <c r="P18" s="257" t="s">
        <v>728</v>
      </c>
      <c r="Q18" s="285" t="s">
        <v>469</v>
      </c>
    </row>
    <row r="19" spans="1:17" ht="30" customHeight="1" x14ac:dyDescent="0.35">
      <c r="A19" s="205">
        <v>16</v>
      </c>
      <c r="B19" s="205">
        <v>385</v>
      </c>
      <c r="C19" s="197" t="s">
        <v>74</v>
      </c>
      <c r="D19" s="197" t="s">
        <v>132</v>
      </c>
      <c r="E19" s="205" t="s">
        <v>72</v>
      </c>
      <c r="F19" s="284">
        <v>50000</v>
      </c>
      <c r="G19" s="282"/>
      <c r="H19" s="369"/>
      <c r="I19" s="284"/>
      <c r="J19" s="499"/>
      <c r="K19" s="284">
        <v>6954</v>
      </c>
      <c r="L19" s="284"/>
      <c r="M19" s="595">
        <f t="shared" si="0"/>
        <v>6954</v>
      </c>
      <c r="N19" s="505">
        <f t="shared" si="1"/>
        <v>43046</v>
      </c>
      <c r="O19" s="257" t="s">
        <v>655</v>
      </c>
      <c r="P19" s="257" t="s">
        <v>656</v>
      </c>
      <c r="Q19" s="285" t="s">
        <v>469</v>
      </c>
    </row>
    <row r="20" spans="1:17" ht="30" customHeight="1" x14ac:dyDescent="0.35">
      <c r="A20" s="205">
        <v>17</v>
      </c>
      <c r="B20" s="205">
        <v>312071001</v>
      </c>
      <c r="C20" s="197" t="s">
        <v>74</v>
      </c>
      <c r="D20" s="197" t="s">
        <v>397</v>
      </c>
      <c r="E20" s="205" t="s">
        <v>72</v>
      </c>
      <c r="F20" s="276">
        <v>50000</v>
      </c>
      <c r="G20" s="282"/>
      <c r="H20" s="362"/>
      <c r="I20" s="276"/>
      <c r="J20" s="483"/>
      <c r="K20" s="276">
        <v>18492.419999999998</v>
      </c>
      <c r="L20" s="276"/>
      <c r="M20" s="595">
        <f t="shared" si="0"/>
        <v>18492.419999999998</v>
      </c>
      <c r="N20" s="505">
        <f t="shared" si="1"/>
        <v>31507.58</v>
      </c>
      <c r="O20" s="276" t="s">
        <v>622</v>
      </c>
      <c r="P20" s="276" t="s">
        <v>623</v>
      </c>
      <c r="Q20" s="285" t="s">
        <v>469</v>
      </c>
    </row>
    <row r="21" spans="1:17" ht="43" customHeight="1" x14ac:dyDescent="0.35">
      <c r="A21" s="205">
        <v>18</v>
      </c>
      <c r="B21" s="205">
        <v>342349001</v>
      </c>
      <c r="C21" s="197" t="s">
        <v>74</v>
      </c>
      <c r="D21" s="197" t="s">
        <v>133</v>
      </c>
      <c r="E21" s="205" t="s">
        <v>120</v>
      </c>
      <c r="F21" s="255">
        <v>50000</v>
      </c>
      <c r="G21" s="282"/>
      <c r="H21" s="359">
        <v>2561</v>
      </c>
      <c r="I21" s="342"/>
      <c r="J21" s="479"/>
      <c r="K21" s="434">
        <v>15770</v>
      </c>
      <c r="L21" s="572"/>
      <c r="M21" s="595">
        <f t="shared" si="0"/>
        <v>16461.47</v>
      </c>
      <c r="N21" s="505">
        <f t="shared" si="1"/>
        <v>33538.53</v>
      </c>
      <c r="O21" s="453" t="s">
        <v>639</v>
      </c>
      <c r="P21" s="454" t="s">
        <v>640</v>
      </c>
      <c r="Q21" s="285" t="s">
        <v>469</v>
      </c>
    </row>
    <row r="22" spans="1:17" ht="69" customHeight="1" x14ac:dyDescent="0.35">
      <c r="A22" s="205">
        <v>19</v>
      </c>
      <c r="B22" s="205"/>
      <c r="C22" s="197" t="s">
        <v>74</v>
      </c>
      <c r="D22" s="200" t="s">
        <v>398</v>
      </c>
      <c r="E22" s="198" t="s">
        <v>134</v>
      </c>
      <c r="F22" s="284">
        <v>50000</v>
      </c>
      <c r="G22" s="282"/>
      <c r="H22" s="369">
        <f>41305.02+21774</f>
        <v>63079.02</v>
      </c>
      <c r="I22" s="284">
        <v>4800</v>
      </c>
      <c r="J22" s="499"/>
      <c r="K22" s="284">
        <v>2419.46</v>
      </c>
      <c r="L22" s="284"/>
      <c r="M22" s="595">
        <f t="shared" si="0"/>
        <v>24250.795399999999</v>
      </c>
      <c r="N22" s="505">
        <f t="shared" si="1"/>
        <v>25749.204600000001</v>
      </c>
      <c r="O22" s="569" t="s">
        <v>811</v>
      </c>
      <c r="P22" s="569" t="s">
        <v>812</v>
      </c>
      <c r="Q22" s="285" t="s">
        <v>469</v>
      </c>
    </row>
    <row r="23" spans="1:17" ht="30" customHeight="1" x14ac:dyDescent="0.35">
      <c r="A23" s="205">
        <v>20</v>
      </c>
      <c r="B23" s="205" t="s">
        <v>285</v>
      </c>
      <c r="C23" s="197" t="s">
        <v>135</v>
      </c>
      <c r="D23" s="197" t="s">
        <v>409</v>
      </c>
      <c r="E23" s="205" t="s">
        <v>92</v>
      </c>
      <c r="F23" s="268"/>
      <c r="G23" s="282"/>
      <c r="H23" s="357"/>
      <c r="I23" s="268"/>
      <c r="J23" s="477"/>
      <c r="K23" s="268"/>
      <c r="L23" s="268"/>
      <c r="M23" s="595">
        <f t="shared" si="0"/>
        <v>0</v>
      </c>
      <c r="N23" s="505">
        <f t="shared" si="1"/>
        <v>0</v>
      </c>
      <c r="O23" s="268"/>
      <c r="P23" s="268"/>
      <c r="Q23" s="285" t="s">
        <v>362</v>
      </c>
    </row>
    <row r="24" spans="1:17" ht="30" customHeight="1" x14ac:dyDescent="0.35">
      <c r="A24" s="205">
        <v>21</v>
      </c>
      <c r="B24" s="205">
        <v>365042012</v>
      </c>
      <c r="C24" s="197" t="s">
        <v>135</v>
      </c>
      <c r="D24" s="197" t="s">
        <v>136</v>
      </c>
      <c r="E24" s="205" t="s">
        <v>548</v>
      </c>
      <c r="F24" s="268"/>
      <c r="G24" s="282"/>
      <c r="H24" s="357"/>
      <c r="I24" s="268"/>
      <c r="J24" s="477"/>
      <c r="K24" s="268"/>
      <c r="L24" s="268"/>
      <c r="M24" s="595">
        <f t="shared" si="0"/>
        <v>0</v>
      </c>
      <c r="N24" s="505">
        <f t="shared" si="1"/>
        <v>0</v>
      </c>
      <c r="O24" s="268"/>
      <c r="P24" s="268"/>
      <c r="Q24" s="285" t="s">
        <v>362</v>
      </c>
    </row>
    <row r="25" spans="1:17" ht="68.25" customHeight="1" x14ac:dyDescent="0.35">
      <c r="A25" s="205">
        <v>22</v>
      </c>
      <c r="B25" s="205">
        <v>36404201</v>
      </c>
      <c r="C25" s="197" t="s">
        <v>135</v>
      </c>
      <c r="D25" s="197" t="s">
        <v>399</v>
      </c>
      <c r="E25" s="205" t="s">
        <v>92</v>
      </c>
      <c r="F25" s="276">
        <v>100000</v>
      </c>
      <c r="G25" s="282"/>
      <c r="H25" s="362">
        <f>5774+26077.5</f>
        <v>31851.5</v>
      </c>
      <c r="I25" s="276"/>
      <c r="J25" s="483"/>
      <c r="K25" s="276">
        <v>44477</v>
      </c>
      <c r="L25" s="276"/>
      <c r="M25" s="595">
        <f t="shared" si="0"/>
        <v>53076.904999999999</v>
      </c>
      <c r="N25" s="505">
        <f t="shared" si="1"/>
        <v>46923.095000000001</v>
      </c>
      <c r="O25" s="451" t="s">
        <v>813</v>
      </c>
      <c r="P25" s="451" t="s">
        <v>814</v>
      </c>
      <c r="Q25" s="285" t="s">
        <v>469</v>
      </c>
    </row>
    <row r="26" spans="1:17" ht="30" customHeight="1" x14ac:dyDescent="0.35">
      <c r="A26" s="205">
        <v>23</v>
      </c>
      <c r="B26" s="205">
        <v>3610</v>
      </c>
      <c r="C26" s="197" t="s">
        <v>137</v>
      </c>
      <c r="D26" s="197" t="s">
        <v>519</v>
      </c>
      <c r="E26" s="205" t="s">
        <v>92</v>
      </c>
      <c r="F26" s="276">
        <v>100000</v>
      </c>
      <c r="G26" s="282"/>
      <c r="H26" s="362"/>
      <c r="I26" s="276"/>
      <c r="J26" s="483"/>
      <c r="K26" s="276"/>
      <c r="L26" s="276"/>
      <c r="M26" s="595">
        <f t="shared" si="0"/>
        <v>0</v>
      </c>
      <c r="N26" s="505">
        <f t="shared" si="1"/>
        <v>100000</v>
      </c>
      <c r="O26" s="276"/>
      <c r="P26" s="276"/>
      <c r="Q26" s="285" t="s">
        <v>469</v>
      </c>
    </row>
    <row r="27" spans="1:17" ht="30" customHeight="1" x14ac:dyDescent="0.35">
      <c r="A27" s="205">
        <v>24</v>
      </c>
      <c r="B27" s="205">
        <v>803025001</v>
      </c>
      <c r="C27" s="197" t="s">
        <v>138</v>
      </c>
      <c r="D27" s="197" t="s">
        <v>139</v>
      </c>
      <c r="E27" s="205" t="s">
        <v>120</v>
      </c>
      <c r="F27" s="276">
        <v>25000</v>
      </c>
      <c r="G27" s="282"/>
      <c r="H27" s="362">
        <v>9695</v>
      </c>
      <c r="I27" s="276"/>
      <c r="J27" s="483"/>
      <c r="K27" s="276"/>
      <c r="L27" s="276"/>
      <c r="M27" s="595">
        <f t="shared" si="0"/>
        <v>2617.65</v>
      </c>
      <c r="N27" s="505">
        <f t="shared" si="1"/>
        <v>22382.35</v>
      </c>
      <c r="O27" s="248" t="s">
        <v>577</v>
      </c>
      <c r="P27" s="248" t="s">
        <v>578</v>
      </c>
      <c r="Q27" s="285" t="s">
        <v>469</v>
      </c>
    </row>
    <row r="28" spans="1:17" ht="70" customHeight="1" x14ac:dyDescent="0.35">
      <c r="A28" s="205">
        <v>25</v>
      </c>
      <c r="B28" s="205">
        <v>582040001</v>
      </c>
      <c r="C28" s="197" t="s">
        <v>138</v>
      </c>
      <c r="D28" s="219" t="s">
        <v>400</v>
      </c>
      <c r="E28" s="205" t="s">
        <v>120</v>
      </c>
      <c r="F28" s="276">
        <v>25000</v>
      </c>
      <c r="G28" s="282"/>
      <c r="H28" s="362">
        <v>3680</v>
      </c>
      <c r="I28" s="276"/>
      <c r="J28" s="483"/>
      <c r="K28" s="276">
        <f>11231+19227.23</f>
        <v>30458.23</v>
      </c>
      <c r="L28" s="276"/>
      <c r="M28" s="595">
        <f t="shared" si="0"/>
        <v>31451.829999999998</v>
      </c>
      <c r="N28" s="505">
        <f t="shared" si="1"/>
        <v>-6451.8299999999981</v>
      </c>
      <c r="O28" s="451" t="s">
        <v>651</v>
      </c>
      <c r="P28" s="451" t="s">
        <v>652</v>
      </c>
      <c r="Q28" s="285" t="s">
        <v>469</v>
      </c>
    </row>
    <row r="29" spans="1:17" ht="74.25" customHeight="1" x14ac:dyDescent="0.35">
      <c r="A29" s="205">
        <v>26</v>
      </c>
      <c r="B29" s="205"/>
      <c r="C29" s="197" t="s">
        <v>138</v>
      </c>
      <c r="D29" s="219" t="s">
        <v>405</v>
      </c>
      <c r="E29" s="197" t="s">
        <v>389</v>
      </c>
      <c r="F29" s="276">
        <v>25000</v>
      </c>
      <c r="G29" s="282"/>
      <c r="H29" s="362">
        <v>4165</v>
      </c>
      <c r="I29" s="276"/>
      <c r="J29" s="483"/>
      <c r="K29" s="276"/>
      <c r="L29" s="276"/>
      <c r="M29" s="595">
        <f t="shared" si="0"/>
        <v>1124.5500000000002</v>
      </c>
      <c r="N29" s="505">
        <f t="shared" si="1"/>
        <v>23875.45</v>
      </c>
      <c r="O29" s="276" t="s">
        <v>587</v>
      </c>
      <c r="P29" s="276" t="s">
        <v>588</v>
      </c>
      <c r="Q29" s="285" t="s">
        <v>469</v>
      </c>
    </row>
    <row r="30" spans="1:17" ht="30" customHeight="1" x14ac:dyDescent="0.35">
      <c r="A30" s="205">
        <v>27</v>
      </c>
      <c r="B30" s="205"/>
      <c r="C30" s="197" t="s">
        <v>138</v>
      </c>
      <c r="D30" s="219" t="s">
        <v>404</v>
      </c>
      <c r="E30" s="205" t="s">
        <v>92</v>
      </c>
      <c r="F30" s="276">
        <v>25000</v>
      </c>
      <c r="G30" s="282"/>
      <c r="H30" s="362">
        <f>2700+500</f>
        <v>3200</v>
      </c>
      <c r="I30" s="276"/>
      <c r="J30" s="483"/>
      <c r="K30" s="276"/>
      <c r="L30" s="276"/>
      <c r="M30" s="595">
        <f t="shared" si="0"/>
        <v>864</v>
      </c>
      <c r="N30" s="505">
        <f t="shared" si="1"/>
        <v>24136</v>
      </c>
      <c r="O30" s="592" t="s">
        <v>817</v>
      </c>
      <c r="P30" s="593" t="s">
        <v>818</v>
      </c>
      <c r="Q30" s="285" t="s">
        <v>469</v>
      </c>
    </row>
    <row r="31" spans="1:17" ht="66.75" customHeight="1" x14ac:dyDescent="0.35">
      <c r="A31" s="205">
        <v>28</v>
      </c>
      <c r="B31" s="205"/>
      <c r="C31" s="197" t="s">
        <v>138</v>
      </c>
      <c r="D31" s="197" t="s">
        <v>140</v>
      </c>
      <c r="E31" s="205" t="s">
        <v>120</v>
      </c>
      <c r="F31" s="276">
        <v>25000</v>
      </c>
      <c r="G31" s="282"/>
      <c r="H31" s="362">
        <v>3087</v>
      </c>
      <c r="I31" s="276">
        <v>7825.56</v>
      </c>
      <c r="J31" s="483"/>
      <c r="K31" s="276">
        <v>12690</v>
      </c>
      <c r="L31" s="276"/>
      <c r="M31" s="595">
        <f t="shared" si="0"/>
        <v>21349.050000000003</v>
      </c>
      <c r="N31" s="505">
        <f t="shared" si="1"/>
        <v>3650.9499999999971</v>
      </c>
      <c r="O31" s="451" t="s">
        <v>809</v>
      </c>
      <c r="P31" s="451" t="s">
        <v>810</v>
      </c>
      <c r="Q31" s="285" t="s">
        <v>469</v>
      </c>
    </row>
    <row r="32" spans="1:17" ht="409.6" customHeight="1" x14ac:dyDescent="0.35">
      <c r="A32" s="205">
        <v>29</v>
      </c>
      <c r="B32" s="205">
        <v>196062005</v>
      </c>
      <c r="C32" s="197" t="s">
        <v>138</v>
      </c>
      <c r="D32" s="197" t="s">
        <v>419</v>
      </c>
      <c r="E32" s="205" t="s">
        <v>92</v>
      </c>
      <c r="F32" s="276">
        <v>50000</v>
      </c>
      <c r="G32" s="282"/>
      <c r="H32" s="363">
        <f>100707+194+2580</f>
        <v>103481</v>
      </c>
      <c r="I32" s="276">
        <v>20979</v>
      </c>
      <c r="J32" s="483">
        <v>618188</v>
      </c>
      <c r="K32" s="276">
        <v>993</v>
      </c>
      <c r="L32" s="276"/>
      <c r="M32" s="595">
        <f t="shared" si="0"/>
        <v>57014.850120000003</v>
      </c>
      <c r="N32" s="505">
        <f t="shared" si="1"/>
        <v>-7014.8501200000028</v>
      </c>
      <c r="O32" s="451" t="s">
        <v>753</v>
      </c>
      <c r="P32" s="451" t="s">
        <v>754</v>
      </c>
      <c r="Q32" s="285" t="s">
        <v>469</v>
      </c>
    </row>
    <row r="33" spans="1:17" ht="30" customHeight="1" x14ac:dyDescent="0.35">
      <c r="A33" s="686" t="s">
        <v>15</v>
      </c>
      <c r="B33" s="687"/>
      <c r="C33" s="687"/>
      <c r="D33" s="687"/>
      <c r="E33" s="687"/>
      <c r="F33" s="262">
        <f>SUM(F4:F32)</f>
        <v>1760997</v>
      </c>
      <c r="G33" s="263">
        <f>SUM(G4:G32)</f>
        <v>68381739</v>
      </c>
      <c r="H33" s="372"/>
      <c r="I33" s="262"/>
      <c r="J33" s="501"/>
      <c r="K33" s="262"/>
      <c r="L33" s="262"/>
      <c r="M33" s="262">
        <f>SUM(M4:M32)</f>
        <v>1534282.4024799999</v>
      </c>
      <c r="N33" s="262">
        <f>F33-M33</f>
        <v>226714.59752000007</v>
      </c>
      <c r="O33" s="262"/>
      <c r="P33" s="262"/>
      <c r="Q33" s="205"/>
    </row>
  </sheetData>
  <mergeCells count="4">
    <mergeCell ref="A33:E33"/>
    <mergeCell ref="A13:A14"/>
    <mergeCell ref="C13:C14"/>
    <mergeCell ref="B13:B14"/>
  </mergeCells>
  <conditionalFormatting sqref="N1:N2 N4:N1048576">
    <cfRule type="cellIs" dxfId="10" priority="1" operator="lessThan">
      <formula>0</formula>
    </cfRule>
    <cfRule type="cellIs" dxfId="9" priority="2" operator="greaterThan">
      <formula>0</formula>
    </cfRule>
    <cfRule type="cellIs" dxfId="8" priority="3" operator="greaterThan">
      <formula>0</formula>
    </cfRule>
  </conditionalFormatting>
  <pageMargins left="0.7" right="0.7" top="0.75" bottom="0.75" header="0.3" footer="0.3"/>
  <pageSetup paperSize="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
  <sheetViews>
    <sheetView showGridLines="0" topLeftCell="G1" zoomScale="70" zoomScaleNormal="70" workbookViewId="0">
      <pane ySplit="3" topLeftCell="A22" activePane="bottomLeft" state="frozen"/>
      <selection pane="bottomLeft" activeCell="N23" sqref="N23"/>
    </sheetView>
  </sheetViews>
  <sheetFormatPr defaultRowHeight="14.5" x14ac:dyDescent="0.35"/>
  <cols>
    <col min="1" max="1" width="9.1796875" style="210"/>
    <col min="2" max="2" width="14.54296875" style="210" hidden="1" customWidth="1"/>
    <col min="3" max="3" width="16.7265625" style="210" customWidth="1"/>
    <col min="4" max="4" width="74.54296875" style="277" customWidth="1"/>
    <col min="5" max="5" width="18.54296875" style="210" customWidth="1"/>
    <col min="6" max="6" width="22.81640625" style="210" customWidth="1"/>
    <col min="7" max="7" width="17.453125" style="210" customWidth="1"/>
    <col min="8" max="8" width="16.54296875" style="359" customWidth="1"/>
    <col min="9" max="9" width="16.54296875" style="255" customWidth="1"/>
    <col min="10" max="10" width="16.54296875" style="471" customWidth="1"/>
    <col min="11" max="13" width="16.54296875" style="255" customWidth="1"/>
    <col min="14" max="14" width="23.1796875" style="255" customWidth="1"/>
    <col min="15" max="15" width="18.26953125" style="255" customWidth="1"/>
    <col min="16" max="16" width="32.54296875" style="359" customWidth="1"/>
    <col min="17" max="17" width="35.453125" style="359" customWidth="1"/>
    <col min="18" max="18" width="22.81640625" style="210" customWidth="1"/>
    <col min="19" max="19" width="24.1796875" customWidth="1"/>
  </cols>
  <sheetData>
    <row r="1" spans="1:19" ht="31.5" customHeight="1" thickBot="1" x14ac:dyDescent="0.4">
      <c r="A1" s="688" t="s">
        <v>350</v>
      </c>
      <c r="B1" s="689"/>
      <c r="C1" s="689"/>
      <c r="D1" s="689"/>
      <c r="E1" s="689"/>
      <c r="F1" s="689"/>
      <c r="G1" s="689"/>
      <c r="H1" s="689"/>
      <c r="I1" s="689"/>
      <c r="J1" s="689"/>
      <c r="K1" s="689"/>
      <c r="L1" s="689"/>
      <c r="M1" s="689"/>
      <c r="N1" s="689"/>
      <c r="O1" s="689"/>
      <c r="P1" s="689"/>
      <c r="Q1" s="689"/>
      <c r="R1" s="690"/>
    </row>
    <row r="2" spans="1:19" ht="36.75" customHeight="1" x14ac:dyDescent="0.35">
      <c r="A2" s="212" t="s">
        <v>141</v>
      </c>
      <c r="B2" s="350" t="s">
        <v>142</v>
      </c>
      <c r="C2" s="351"/>
      <c r="D2" s="351"/>
      <c r="E2" s="351"/>
      <c r="F2" s="351"/>
      <c r="G2" s="352"/>
      <c r="H2" s="353"/>
      <c r="I2" s="413"/>
      <c r="J2" s="474"/>
      <c r="K2" s="413"/>
      <c r="L2" s="413"/>
      <c r="M2" s="413"/>
      <c r="N2" s="413"/>
      <c r="O2" s="413"/>
      <c r="P2" s="353"/>
      <c r="Q2" s="353"/>
      <c r="R2" s="123"/>
    </row>
    <row r="3" spans="1:19" ht="29" x14ac:dyDescent="0.35">
      <c r="A3" s="240" t="s">
        <v>2</v>
      </c>
      <c r="B3" s="240" t="s">
        <v>278</v>
      </c>
      <c r="C3" s="241" t="s">
        <v>55</v>
      </c>
      <c r="D3" s="240" t="s">
        <v>56</v>
      </c>
      <c r="E3" s="241" t="s">
        <v>57</v>
      </c>
      <c r="F3" s="241" t="s">
        <v>58</v>
      </c>
      <c r="G3" s="241" t="s">
        <v>341</v>
      </c>
      <c r="H3" s="354" t="s">
        <v>675</v>
      </c>
      <c r="I3" s="242" t="s">
        <v>598</v>
      </c>
      <c r="J3" s="475" t="s">
        <v>670</v>
      </c>
      <c r="K3" s="242" t="s">
        <v>628</v>
      </c>
      <c r="L3" s="242" t="s">
        <v>714</v>
      </c>
      <c r="M3" s="577" t="s">
        <v>767</v>
      </c>
      <c r="N3" s="239" t="s">
        <v>718</v>
      </c>
      <c r="O3" s="437" t="s">
        <v>721</v>
      </c>
      <c r="P3" s="354" t="s">
        <v>555</v>
      </c>
      <c r="Q3" s="354" t="s">
        <v>526</v>
      </c>
      <c r="R3" s="241" t="s">
        <v>6</v>
      </c>
    </row>
    <row r="4" spans="1:19" ht="156" customHeight="1" x14ac:dyDescent="0.35">
      <c r="A4" s="205">
        <v>1</v>
      </c>
      <c r="B4" s="205">
        <v>651600000</v>
      </c>
      <c r="C4" s="205" t="s">
        <v>143</v>
      </c>
      <c r="D4" s="264" t="s">
        <v>144</v>
      </c>
      <c r="E4" s="205" t="s">
        <v>92</v>
      </c>
      <c r="F4" s="265">
        <v>50000</v>
      </c>
      <c r="G4" s="266">
        <f>F4*87</f>
        <v>4350000</v>
      </c>
      <c r="H4" s="355">
        <f>136391+5300+8600</f>
        <v>150291</v>
      </c>
      <c r="I4" s="265"/>
      <c r="J4" s="266">
        <f>160000+46600</f>
        <v>206600</v>
      </c>
      <c r="K4" s="265">
        <v>5556</v>
      </c>
      <c r="L4" s="265"/>
      <c r="M4" s="265"/>
      <c r="N4" s="265">
        <f>H4*0.27+I4+J4*0.01149+K4+L4</f>
        <v>48508.404000000002</v>
      </c>
      <c r="O4" s="265">
        <f>F4-N4</f>
        <v>1491.5959999999977</v>
      </c>
      <c r="P4" s="377" t="s">
        <v>837</v>
      </c>
      <c r="Q4" s="377" t="s">
        <v>838</v>
      </c>
      <c r="R4" s="197" t="s">
        <v>340</v>
      </c>
    </row>
    <row r="5" spans="1:19" ht="110.25" customHeight="1" x14ac:dyDescent="0.35">
      <c r="A5" s="205">
        <v>2</v>
      </c>
      <c r="B5" s="205">
        <v>325325001</v>
      </c>
      <c r="C5" s="205" t="s">
        <v>145</v>
      </c>
      <c r="D5" s="264" t="s">
        <v>146</v>
      </c>
      <c r="E5" s="205" t="s">
        <v>92</v>
      </c>
      <c r="F5" s="265">
        <v>100000</v>
      </c>
      <c r="G5" s="266"/>
      <c r="H5" s="355">
        <f>2500</f>
        <v>2500</v>
      </c>
      <c r="I5" s="265">
        <v>129935</v>
      </c>
      <c r="J5" s="266"/>
      <c r="K5" s="265">
        <v>3941.88</v>
      </c>
      <c r="L5" s="265"/>
      <c r="M5" s="265"/>
      <c r="N5" s="265">
        <f t="shared" ref="N5:N40" si="0">H5*0.27+I5+J5*0.01149+K5+L5</f>
        <v>134551.88</v>
      </c>
      <c r="O5" s="265">
        <f t="shared" ref="O5:O40" si="1">F5-N5</f>
        <v>-34551.880000000005</v>
      </c>
      <c r="P5" s="377" t="s">
        <v>866</v>
      </c>
      <c r="Q5" s="377" t="s">
        <v>867</v>
      </c>
      <c r="R5" s="197" t="s">
        <v>464</v>
      </c>
    </row>
    <row r="6" spans="1:19" ht="50.5" customHeight="1" x14ac:dyDescent="0.35">
      <c r="A6" s="205">
        <v>3</v>
      </c>
      <c r="B6" s="205">
        <v>312081001</v>
      </c>
      <c r="C6" s="205" t="s">
        <v>147</v>
      </c>
      <c r="D6" s="264" t="s">
        <v>148</v>
      </c>
      <c r="E6" s="205" t="s">
        <v>92</v>
      </c>
      <c r="F6" s="265"/>
      <c r="G6" s="266"/>
      <c r="H6" s="355">
        <v>10719.5</v>
      </c>
      <c r="I6" s="265"/>
      <c r="J6" s="266"/>
      <c r="K6" s="265"/>
      <c r="L6" s="507"/>
      <c r="M6" s="507"/>
      <c r="N6" s="265">
        <f t="shared" si="0"/>
        <v>2894.2650000000003</v>
      </c>
      <c r="O6" s="265">
        <f t="shared" si="1"/>
        <v>-2894.2650000000003</v>
      </c>
      <c r="P6" t="s">
        <v>831</v>
      </c>
      <c r="Q6" s="363" t="s">
        <v>832</v>
      </c>
      <c r="R6" s="197" t="s">
        <v>464</v>
      </c>
    </row>
    <row r="7" spans="1:19" ht="30" customHeight="1" x14ac:dyDescent="0.35">
      <c r="A7" s="205">
        <v>4</v>
      </c>
      <c r="B7" s="205">
        <v>313314</v>
      </c>
      <c r="C7" s="205" t="s">
        <v>538</v>
      </c>
      <c r="D7" s="264" t="s">
        <v>149</v>
      </c>
      <c r="E7" s="205" t="s">
        <v>92</v>
      </c>
      <c r="F7" s="265"/>
      <c r="G7" s="266"/>
      <c r="H7" s="355"/>
      <c r="I7" s="265"/>
      <c r="J7" s="266"/>
      <c r="K7" s="265"/>
      <c r="L7" s="265"/>
      <c r="M7" s="265"/>
      <c r="N7" s="265">
        <f t="shared" si="0"/>
        <v>0</v>
      </c>
      <c r="O7" s="265">
        <f t="shared" si="1"/>
        <v>0</v>
      </c>
      <c r="P7" s="355"/>
      <c r="Q7" s="355"/>
      <c r="R7" s="197" t="s">
        <v>541</v>
      </c>
    </row>
    <row r="8" spans="1:19" ht="30" customHeight="1" x14ac:dyDescent="0.35">
      <c r="A8" s="205">
        <v>5</v>
      </c>
      <c r="B8" s="205">
        <v>313081011</v>
      </c>
      <c r="C8" s="205" t="s">
        <v>150</v>
      </c>
      <c r="D8" s="264" t="s">
        <v>149</v>
      </c>
      <c r="E8" s="205" t="s">
        <v>92</v>
      </c>
      <c r="F8" s="265"/>
      <c r="G8" s="266"/>
      <c r="H8" s="355"/>
      <c r="I8" s="265"/>
      <c r="J8" s="266"/>
      <c r="K8" s="265"/>
      <c r="L8" s="265"/>
      <c r="M8" s="265"/>
      <c r="N8" s="265">
        <f t="shared" si="0"/>
        <v>0</v>
      </c>
      <c r="O8" s="265">
        <f t="shared" si="1"/>
        <v>0</v>
      </c>
      <c r="P8" s="355"/>
      <c r="Q8" s="355"/>
      <c r="R8" s="197" t="s">
        <v>464</v>
      </c>
    </row>
    <row r="9" spans="1:19" ht="43.5" x14ac:dyDescent="0.35">
      <c r="A9" s="205">
        <v>6</v>
      </c>
      <c r="B9" s="205">
        <v>311085001</v>
      </c>
      <c r="C9" s="197" t="s">
        <v>414</v>
      </c>
      <c r="D9" s="264" t="s">
        <v>415</v>
      </c>
      <c r="E9" s="205" t="s">
        <v>92</v>
      </c>
      <c r="F9" s="267">
        <v>120000</v>
      </c>
      <c r="G9" s="266"/>
      <c r="H9" s="356"/>
      <c r="I9" s="267"/>
      <c r="J9" s="476"/>
      <c r="K9" s="267">
        <v>115449.01</v>
      </c>
      <c r="L9" s="267"/>
      <c r="M9" s="267"/>
      <c r="N9" s="265">
        <f t="shared" si="0"/>
        <v>115449.01</v>
      </c>
      <c r="O9" s="265">
        <f t="shared" si="1"/>
        <v>4550.9900000000052</v>
      </c>
      <c r="P9" s="356" t="s">
        <v>637</v>
      </c>
      <c r="Q9" s="356" t="s">
        <v>638</v>
      </c>
      <c r="R9" s="197" t="s">
        <v>356</v>
      </c>
    </row>
    <row r="10" spans="1:19" ht="30" customHeight="1" x14ac:dyDescent="0.35">
      <c r="A10" s="205">
        <v>7</v>
      </c>
      <c r="B10" s="205">
        <v>488</v>
      </c>
      <c r="C10" s="205" t="s">
        <v>151</v>
      </c>
      <c r="D10" s="264" t="s">
        <v>422</v>
      </c>
      <c r="E10" s="205" t="s">
        <v>92</v>
      </c>
      <c r="F10" s="265">
        <v>25000</v>
      </c>
      <c r="G10" s="266"/>
      <c r="H10" s="355"/>
      <c r="I10" s="265"/>
      <c r="J10" s="266"/>
      <c r="K10" s="265"/>
      <c r="L10" s="265"/>
      <c r="M10" s="265"/>
      <c r="N10" s="265">
        <f t="shared" si="0"/>
        <v>0</v>
      </c>
      <c r="O10" s="265">
        <f t="shared" si="1"/>
        <v>25000</v>
      </c>
      <c r="P10" s="355"/>
      <c r="Q10" s="355"/>
      <c r="R10" s="197" t="s">
        <v>13</v>
      </c>
    </row>
    <row r="11" spans="1:19" ht="30" customHeight="1" x14ac:dyDescent="0.35">
      <c r="A11" s="205">
        <v>8</v>
      </c>
      <c r="B11" s="205">
        <v>867090001</v>
      </c>
      <c r="C11" s="197" t="s">
        <v>152</v>
      </c>
      <c r="D11" s="264" t="s">
        <v>153</v>
      </c>
      <c r="E11" s="205" t="s">
        <v>92</v>
      </c>
      <c r="F11" s="265">
        <v>25000</v>
      </c>
      <c r="G11" s="266"/>
      <c r="H11" s="355">
        <f>2450+2193</f>
        <v>4643</v>
      </c>
      <c r="I11" s="265"/>
      <c r="J11" s="266"/>
      <c r="K11" s="265"/>
      <c r="L11" s="265"/>
      <c r="M11" s="265"/>
      <c r="N11" s="265">
        <f t="shared" si="0"/>
        <v>1253.6100000000001</v>
      </c>
      <c r="O11" s="265">
        <f t="shared" si="1"/>
        <v>23746.39</v>
      </c>
      <c r="P11" s="377" t="s">
        <v>883</v>
      </c>
      <c r="Q11" s="377" t="s">
        <v>884</v>
      </c>
      <c r="R11" s="197"/>
    </row>
    <row r="12" spans="1:19" ht="30" customHeight="1" x14ac:dyDescent="0.35">
      <c r="A12" s="205">
        <v>9</v>
      </c>
      <c r="B12" s="205">
        <v>311084001</v>
      </c>
      <c r="C12" s="205" t="s">
        <v>154</v>
      </c>
      <c r="D12" s="264" t="s">
        <v>416</v>
      </c>
      <c r="E12" s="205" t="s">
        <v>92</v>
      </c>
      <c r="F12" s="265">
        <v>25000</v>
      </c>
      <c r="G12" s="266"/>
      <c r="H12" s="355"/>
      <c r="I12" s="265"/>
      <c r="J12" s="266"/>
      <c r="K12" s="265"/>
      <c r="L12" s="265"/>
      <c r="M12" s="265"/>
      <c r="N12" s="265">
        <f t="shared" si="0"/>
        <v>0</v>
      </c>
      <c r="O12" s="265">
        <f t="shared" si="1"/>
        <v>25000</v>
      </c>
      <c r="P12" s="355"/>
      <c r="Q12" s="355"/>
      <c r="R12" s="197" t="s">
        <v>13</v>
      </c>
    </row>
    <row r="13" spans="1:19" ht="58" x14ac:dyDescent="0.35">
      <c r="A13" s="205">
        <v>10</v>
      </c>
      <c r="B13" s="205" t="s">
        <v>286</v>
      </c>
      <c r="C13" s="197" t="s">
        <v>155</v>
      </c>
      <c r="D13" s="264" t="s">
        <v>156</v>
      </c>
      <c r="E13" s="205" t="s">
        <v>92</v>
      </c>
      <c r="F13" s="265">
        <v>25000</v>
      </c>
      <c r="G13" s="266"/>
      <c r="H13" s="355">
        <v>1764.19</v>
      </c>
      <c r="I13" s="265"/>
      <c r="J13" s="266"/>
      <c r="K13" s="265">
        <v>8933</v>
      </c>
      <c r="L13" s="265">
        <v>14882</v>
      </c>
      <c r="M13" s="265"/>
      <c r="N13" s="265">
        <f t="shared" si="0"/>
        <v>24291.331299999998</v>
      </c>
      <c r="O13" s="265">
        <f t="shared" si="1"/>
        <v>708.66870000000199</v>
      </c>
      <c r="P13" s="377" t="s">
        <v>629</v>
      </c>
      <c r="Q13" s="377" t="s">
        <v>630</v>
      </c>
      <c r="R13" s="197" t="s">
        <v>13</v>
      </c>
    </row>
    <row r="14" spans="1:19" ht="99" customHeight="1" x14ac:dyDescent="0.35">
      <c r="A14" s="205">
        <v>11</v>
      </c>
      <c r="B14" s="205">
        <v>5710</v>
      </c>
      <c r="C14" s="205" t="s">
        <v>157</v>
      </c>
      <c r="D14" s="328" t="s">
        <v>443</v>
      </c>
      <c r="E14" s="205" t="s">
        <v>92</v>
      </c>
      <c r="F14" s="268">
        <v>125000</v>
      </c>
      <c r="G14" s="266"/>
      <c r="H14" s="357">
        <f>350+180455+2700+3765+11024</f>
        <v>198294</v>
      </c>
      <c r="I14" s="268"/>
      <c r="J14" s="477"/>
      <c r="K14" s="268">
        <f>9940+209.2</f>
        <v>10149.200000000001</v>
      </c>
      <c r="L14" s="268">
        <v>80926</v>
      </c>
      <c r="M14" s="268"/>
      <c r="N14" s="265">
        <f t="shared" si="0"/>
        <v>144614.58000000002</v>
      </c>
      <c r="O14" s="265">
        <f t="shared" si="1"/>
        <v>-19614.580000000016</v>
      </c>
      <c r="P14" s="560" t="s">
        <v>933</v>
      </c>
      <c r="Q14" s="559" t="s">
        <v>934</v>
      </c>
      <c r="R14" s="197" t="s">
        <v>13</v>
      </c>
      <c r="S14" s="24"/>
    </row>
    <row r="15" spans="1:19" ht="116" x14ac:dyDescent="0.35">
      <c r="A15" s="205">
        <v>12</v>
      </c>
      <c r="B15" s="205"/>
      <c r="C15" s="197" t="s">
        <v>158</v>
      </c>
      <c r="D15" s="264" t="s">
        <v>159</v>
      </c>
      <c r="E15" s="205" t="s">
        <v>92</v>
      </c>
      <c r="F15" s="269">
        <v>100000</v>
      </c>
      <c r="G15" s="266"/>
      <c r="H15" s="358">
        <v>14955</v>
      </c>
      <c r="I15" s="269"/>
      <c r="J15" s="478"/>
      <c r="K15" s="269">
        <f>4629+46994</f>
        <v>51623</v>
      </c>
      <c r="L15" s="269"/>
      <c r="M15" s="269"/>
      <c r="N15" s="265">
        <f t="shared" si="0"/>
        <v>55660.85</v>
      </c>
      <c r="O15" s="265">
        <f t="shared" si="1"/>
        <v>44339.15</v>
      </c>
      <c r="P15" s="442" t="s">
        <v>845</v>
      </c>
      <c r="Q15" s="442" t="s">
        <v>846</v>
      </c>
      <c r="R15" s="197" t="s">
        <v>13</v>
      </c>
    </row>
    <row r="16" spans="1:19" ht="35.25" customHeight="1" x14ac:dyDescent="0.35">
      <c r="A16" s="205">
        <v>13</v>
      </c>
      <c r="B16" s="205"/>
      <c r="C16" s="205" t="s">
        <v>188</v>
      </c>
      <c r="D16" s="270" t="s">
        <v>160</v>
      </c>
      <c r="E16" s="205" t="s">
        <v>92</v>
      </c>
      <c r="F16" s="269">
        <v>10000</v>
      </c>
      <c r="G16" s="266"/>
      <c r="H16" s="358"/>
      <c r="I16" s="269"/>
      <c r="J16" s="478"/>
      <c r="K16" s="269">
        <f>521+412</f>
        <v>933</v>
      </c>
      <c r="L16" s="269"/>
      <c r="M16" s="269"/>
      <c r="N16" s="265">
        <f t="shared" si="0"/>
        <v>933</v>
      </c>
      <c r="O16" s="265">
        <f t="shared" si="1"/>
        <v>9067</v>
      </c>
      <c r="P16" s="442" t="s">
        <v>847</v>
      </c>
      <c r="Q16" s="442" t="s">
        <v>848</v>
      </c>
      <c r="R16" s="197" t="s">
        <v>13</v>
      </c>
    </row>
    <row r="17" spans="1:18" ht="30" customHeight="1" x14ac:dyDescent="0.35">
      <c r="A17" s="205">
        <v>14</v>
      </c>
      <c r="B17" s="205"/>
      <c r="C17" s="205" t="s">
        <v>161</v>
      </c>
      <c r="D17" s="264" t="s">
        <v>162</v>
      </c>
      <c r="E17" s="205" t="s">
        <v>92</v>
      </c>
      <c r="F17" s="269">
        <v>10000</v>
      </c>
      <c r="G17" s="266"/>
      <c r="H17" s="358"/>
      <c r="I17" s="269"/>
      <c r="J17" s="478"/>
      <c r="K17" s="269"/>
      <c r="L17" s="269">
        <v>5978</v>
      </c>
      <c r="M17" s="269"/>
      <c r="N17" s="265">
        <f t="shared" si="0"/>
        <v>5978</v>
      </c>
      <c r="O17" s="265">
        <f t="shared" si="1"/>
        <v>4022</v>
      </c>
      <c r="P17" s="358"/>
      <c r="Q17" s="358"/>
      <c r="R17" s="197" t="s">
        <v>13</v>
      </c>
    </row>
    <row r="18" spans="1:18" ht="54.75" customHeight="1" x14ac:dyDescent="0.35">
      <c r="A18" s="205">
        <v>15</v>
      </c>
      <c r="B18" s="205"/>
      <c r="C18" s="197" t="s">
        <v>163</v>
      </c>
      <c r="D18" s="264" t="s">
        <v>164</v>
      </c>
      <c r="E18" s="205" t="s">
        <v>92</v>
      </c>
      <c r="F18" s="265">
        <v>40000</v>
      </c>
      <c r="G18" s="266"/>
      <c r="H18" s="355"/>
      <c r="I18" s="265"/>
      <c r="J18" s="266"/>
      <c r="K18" s="265"/>
      <c r="L18" s="265"/>
      <c r="M18" s="265"/>
      <c r="N18" s="265">
        <f t="shared" si="0"/>
        <v>0</v>
      </c>
      <c r="O18" s="265">
        <f t="shared" si="1"/>
        <v>40000</v>
      </c>
      <c r="P18" s="355"/>
      <c r="Q18" s="355"/>
      <c r="R18" s="197" t="s">
        <v>13</v>
      </c>
    </row>
    <row r="19" spans="1:18" ht="62.25" customHeight="1" x14ac:dyDescent="0.35">
      <c r="A19" s="205">
        <v>16</v>
      </c>
      <c r="B19" s="205">
        <v>421</v>
      </c>
      <c r="C19" s="197" t="s">
        <v>165</v>
      </c>
      <c r="D19" s="264" t="s">
        <v>474</v>
      </c>
      <c r="E19" s="205" t="s">
        <v>92</v>
      </c>
      <c r="F19" s="265">
        <v>10000</v>
      </c>
      <c r="G19" s="266"/>
      <c r="H19" s="355">
        <v>2000</v>
      </c>
      <c r="I19" s="265">
        <v>1000</v>
      </c>
      <c r="J19" s="266">
        <v>66000</v>
      </c>
      <c r="K19" s="265"/>
      <c r="L19" s="265"/>
      <c r="M19" s="265"/>
      <c r="N19" s="265">
        <f t="shared" si="0"/>
        <v>2298.34</v>
      </c>
      <c r="O19" s="265">
        <f t="shared" si="1"/>
        <v>7701.66</v>
      </c>
      <c r="P19" s="568" t="s">
        <v>857</v>
      </c>
      <c r="Q19" s="377" t="s">
        <v>858</v>
      </c>
      <c r="R19" s="197" t="s">
        <v>13</v>
      </c>
    </row>
    <row r="20" spans="1:18" ht="30" customHeight="1" x14ac:dyDescent="0.35">
      <c r="A20" s="205">
        <v>17</v>
      </c>
      <c r="B20" s="205">
        <v>867</v>
      </c>
      <c r="C20" s="197" t="s">
        <v>166</v>
      </c>
      <c r="D20" s="264" t="s">
        <v>167</v>
      </c>
      <c r="E20" s="271" t="s">
        <v>72</v>
      </c>
      <c r="F20" s="255">
        <v>10000</v>
      </c>
      <c r="G20" s="266"/>
      <c r="H20" s="363"/>
      <c r="I20" s="341"/>
      <c r="J20" s="479"/>
      <c r="K20" s="434"/>
      <c r="L20" s="457"/>
      <c r="M20" s="572"/>
      <c r="N20" s="265">
        <f t="shared" si="0"/>
        <v>0</v>
      </c>
      <c r="O20" s="265">
        <f t="shared" si="1"/>
        <v>10000</v>
      </c>
      <c r="P20" s="363"/>
      <c r="Q20" s="363"/>
      <c r="R20" s="197" t="s">
        <v>13</v>
      </c>
    </row>
    <row r="21" spans="1:18" ht="30" customHeight="1" x14ac:dyDescent="0.35">
      <c r="A21" s="205">
        <v>18</v>
      </c>
      <c r="B21" s="205">
        <v>372056001</v>
      </c>
      <c r="C21" s="205" t="s">
        <v>168</v>
      </c>
      <c r="D21" s="264" t="s">
        <v>406</v>
      </c>
      <c r="E21" s="271" t="s">
        <v>72</v>
      </c>
      <c r="F21" s="265">
        <v>50000</v>
      </c>
      <c r="G21" s="266"/>
      <c r="H21" s="355"/>
      <c r="I21" s="265"/>
      <c r="J21" s="266">
        <v>245000</v>
      </c>
      <c r="K21" s="265"/>
      <c r="L21" s="265"/>
      <c r="M21" s="265"/>
      <c r="N21" s="265">
        <f t="shared" si="0"/>
        <v>2815.05</v>
      </c>
      <c r="O21" s="265">
        <f t="shared" si="1"/>
        <v>47184.95</v>
      </c>
      <c r="P21" s="355" t="s">
        <v>706</v>
      </c>
      <c r="Q21" s="355" t="s">
        <v>705</v>
      </c>
      <c r="R21" s="197" t="s">
        <v>13</v>
      </c>
    </row>
    <row r="22" spans="1:18" ht="30" customHeight="1" x14ac:dyDescent="0.35">
      <c r="A22" s="205">
        <v>19</v>
      </c>
      <c r="B22" s="205">
        <v>332068001</v>
      </c>
      <c r="C22" s="205" t="s">
        <v>169</v>
      </c>
      <c r="D22" s="264" t="s">
        <v>170</v>
      </c>
      <c r="E22" s="205" t="s">
        <v>72</v>
      </c>
      <c r="F22" s="265">
        <v>10000</v>
      </c>
      <c r="G22" s="266"/>
      <c r="H22" s="355">
        <v>3520</v>
      </c>
      <c r="I22" s="265"/>
      <c r="J22" s="266"/>
      <c r="K22" s="265"/>
      <c r="L22" s="265"/>
      <c r="M22" s="265"/>
      <c r="N22" s="265">
        <f t="shared" si="0"/>
        <v>950.40000000000009</v>
      </c>
      <c r="O22" s="265">
        <f t="shared" si="1"/>
        <v>9049.6</v>
      </c>
      <c r="P22" s="355" t="s">
        <v>571</v>
      </c>
      <c r="Q22" s="355" t="s">
        <v>572</v>
      </c>
      <c r="R22" s="197" t="s">
        <v>13</v>
      </c>
    </row>
    <row r="23" spans="1:18" ht="72" customHeight="1" x14ac:dyDescent="0.35">
      <c r="A23" s="205">
        <v>20</v>
      </c>
      <c r="B23" s="205">
        <v>196062002</v>
      </c>
      <c r="C23" s="197" t="s">
        <v>171</v>
      </c>
      <c r="D23" s="264" t="s">
        <v>172</v>
      </c>
      <c r="E23" s="205" t="s">
        <v>72</v>
      </c>
      <c r="F23" s="265">
        <v>10000</v>
      </c>
      <c r="G23" s="266"/>
      <c r="H23" s="355">
        <f>2855+4222+125</f>
        <v>7202</v>
      </c>
      <c r="I23" s="265"/>
      <c r="J23" s="266"/>
      <c r="K23" s="265"/>
      <c r="L23" s="265"/>
      <c r="M23" s="265"/>
      <c r="N23" s="265">
        <f t="shared" si="0"/>
        <v>1944.5400000000002</v>
      </c>
      <c r="O23" s="265">
        <f t="shared" si="1"/>
        <v>8055.46</v>
      </c>
      <c r="P23" s="377" t="s">
        <v>737</v>
      </c>
      <c r="Q23" s="377" t="s">
        <v>736</v>
      </c>
      <c r="R23" s="197" t="s">
        <v>13</v>
      </c>
    </row>
    <row r="24" spans="1:18" ht="53" customHeight="1" x14ac:dyDescent="0.35">
      <c r="A24" s="205">
        <v>21</v>
      </c>
      <c r="B24" s="205">
        <v>811</v>
      </c>
      <c r="C24" s="205" t="s">
        <v>173</v>
      </c>
      <c r="D24" s="272" t="s">
        <v>174</v>
      </c>
      <c r="E24" s="271" t="s">
        <v>92</v>
      </c>
      <c r="F24" s="265">
        <v>25000</v>
      </c>
      <c r="G24" s="266"/>
      <c r="H24" s="355">
        <v>4842</v>
      </c>
      <c r="I24" s="265"/>
      <c r="J24" s="266">
        <v>568866</v>
      </c>
      <c r="K24" s="265">
        <v>8696</v>
      </c>
      <c r="L24" s="265"/>
      <c r="M24" s="265"/>
      <c r="N24" s="265">
        <f t="shared" si="0"/>
        <v>16539.610339999999</v>
      </c>
      <c r="O24" s="265">
        <f t="shared" si="1"/>
        <v>8460.3896600000007</v>
      </c>
      <c r="P24" s="608" t="s">
        <v>941</v>
      </c>
      <c r="Q24" s="609" t="s">
        <v>942</v>
      </c>
      <c r="R24" s="197" t="s">
        <v>13</v>
      </c>
    </row>
    <row r="25" spans="1:18" ht="30" customHeight="1" x14ac:dyDescent="0.35">
      <c r="A25" s="205">
        <v>22</v>
      </c>
      <c r="B25" s="205">
        <v>425094</v>
      </c>
      <c r="C25" s="205" t="s">
        <v>175</v>
      </c>
      <c r="D25" s="272" t="s">
        <v>176</v>
      </c>
      <c r="E25" s="273" t="s">
        <v>92</v>
      </c>
      <c r="F25" s="269">
        <v>25000</v>
      </c>
      <c r="G25" s="266"/>
      <c r="H25" s="358">
        <v>4604</v>
      </c>
      <c r="I25" s="269"/>
      <c r="J25" s="478"/>
      <c r="K25" s="269"/>
      <c r="L25" s="269"/>
      <c r="M25" s="269"/>
      <c r="N25" s="265">
        <f t="shared" si="0"/>
        <v>1243.0800000000002</v>
      </c>
      <c r="O25" s="265">
        <f t="shared" si="1"/>
        <v>23756.92</v>
      </c>
      <c r="P25" s="358" t="s">
        <v>573</v>
      </c>
      <c r="Q25" s="358" t="s">
        <v>574</v>
      </c>
      <c r="R25" s="197" t="s">
        <v>13</v>
      </c>
    </row>
    <row r="26" spans="1:18" ht="30" customHeight="1" x14ac:dyDescent="0.35">
      <c r="A26" s="205">
        <v>23</v>
      </c>
      <c r="B26" s="205">
        <v>821069001</v>
      </c>
      <c r="C26" s="197" t="s">
        <v>177</v>
      </c>
      <c r="D26" s="264" t="s">
        <v>178</v>
      </c>
      <c r="E26" s="273" t="s">
        <v>92</v>
      </c>
      <c r="F26" s="274">
        <v>50000</v>
      </c>
      <c r="G26" s="266"/>
      <c r="H26" s="360"/>
      <c r="I26" s="274"/>
      <c r="J26" s="480"/>
      <c r="K26" s="274"/>
      <c r="L26" s="274"/>
      <c r="M26" s="274"/>
      <c r="N26" s="265">
        <f t="shared" si="0"/>
        <v>0</v>
      </c>
      <c r="O26" s="265">
        <f t="shared" si="1"/>
        <v>50000</v>
      </c>
      <c r="P26" s="360"/>
      <c r="Q26" s="360"/>
      <c r="R26" s="197" t="s">
        <v>13</v>
      </c>
    </row>
    <row r="27" spans="1:18" ht="30" customHeight="1" x14ac:dyDescent="0.35">
      <c r="A27" s="205">
        <v>24</v>
      </c>
      <c r="B27" s="205"/>
      <c r="C27" s="205" t="s">
        <v>179</v>
      </c>
      <c r="D27" s="264" t="s">
        <v>180</v>
      </c>
      <c r="E27" s="205" t="s">
        <v>92</v>
      </c>
      <c r="F27" s="248">
        <v>10000</v>
      </c>
      <c r="G27" s="266"/>
      <c r="H27" s="346"/>
      <c r="I27" s="248"/>
      <c r="J27" s="481"/>
      <c r="K27" s="248"/>
      <c r="L27" s="248">
        <v>11090</v>
      </c>
      <c r="M27" s="248"/>
      <c r="N27" s="265">
        <f t="shared" si="0"/>
        <v>11090</v>
      </c>
      <c r="O27" s="265">
        <f t="shared" si="1"/>
        <v>-1090</v>
      </c>
      <c r="P27" s="346"/>
      <c r="Q27" s="346"/>
      <c r="R27" s="197" t="s">
        <v>13</v>
      </c>
    </row>
    <row r="28" spans="1:18" ht="30" customHeight="1" x14ac:dyDescent="0.35">
      <c r="A28" s="205">
        <v>25</v>
      </c>
      <c r="B28" s="205"/>
      <c r="C28" s="205" t="s">
        <v>179</v>
      </c>
      <c r="D28" s="264" t="s">
        <v>181</v>
      </c>
      <c r="E28" s="205" t="s">
        <v>92</v>
      </c>
      <c r="F28" s="248">
        <v>30000</v>
      </c>
      <c r="G28" s="266"/>
      <c r="H28" s="346">
        <v>1020</v>
      </c>
      <c r="I28" s="248"/>
      <c r="J28" s="481"/>
      <c r="K28" s="248">
        <v>1008</v>
      </c>
      <c r="L28" s="248"/>
      <c r="M28" s="248"/>
      <c r="N28" s="265">
        <f t="shared" si="0"/>
        <v>1283.4000000000001</v>
      </c>
      <c r="O28" s="265">
        <f t="shared" si="1"/>
        <v>28716.6</v>
      </c>
      <c r="P28" s="422" t="s">
        <v>919</v>
      </c>
      <c r="Q28" s="422" t="s">
        <v>920</v>
      </c>
      <c r="R28" s="197" t="s">
        <v>13</v>
      </c>
    </row>
    <row r="29" spans="1:18" ht="30" customHeight="1" x14ac:dyDescent="0.35">
      <c r="A29" s="205">
        <v>26</v>
      </c>
      <c r="B29" s="205"/>
      <c r="C29" s="205" t="s">
        <v>179</v>
      </c>
      <c r="D29" s="264" t="s">
        <v>182</v>
      </c>
      <c r="E29" s="205" t="s">
        <v>72</v>
      </c>
      <c r="F29" s="275"/>
      <c r="G29" s="266"/>
      <c r="H29" s="361"/>
      <c r="I29" s="275"/>
      <c r="J29" s="482"/>
      <c r="K29" s="275"/>
      <c r="L29" s="275"/>
      <c r="M29" s="275"/>
      <c r="N29" s="265">
        <f t="shared" si="0"/>
        <v>0</v>
      </c>
      <c r="O29" s="265">
        <f t="shared" si="1"/>
        <v>0</v>
      </c>
      <c r="P29" s="361"/>
      <c r="Q29" s="361"/>
      <c r="R29" s="197" t="s">
        <v>13</v>
      </c>
    </row>
    <row r="30" spans="1:18" ht="30" customHeight="1" x14ac:dyDescent="0.35">
      <c r="A30" s="205">
        <v>27</v>
      </c>
      <c r="B30" s="205"/>
      <c r="C30" s="205" t="s">
        <v>179</v>
      </c>
      <c r="D30" s="264" t="s">
        <v>183</v>
      </c>
      <c r="E30" s="205" t="s">
        <v>72</v>
      </c>
      <c r="F30" s="248"/>
      <c r="G30" s="266"/>
      <c r="H30" s="346"/>
      <c r="I30" s="248"/>
      <c r="J30" s="481"/>
      <c r="K30" s="248"/>
      <c r="L30" s="248"/>
      <c r="M30" s="248"/>
      <c r="N30" s="265">
        <f t="shared" si="0"/>
        <v>0</v>
      </c>
      <c r="O30" s="265">
        <f t="shared" si="1"/>
        <v>0</v>
      </c>
      <c r="P30" s="346"/>
      <c r="Q30" s="346"/>
      <c r="R30" s="197" t="s">
        <v>13</v>
      </c>
    </row>
    <row r="31" spans="1:18" ht="30" customHeight="1" x14ac:dyDescent="0.35">
      <c r="A31" s="205">
        <v>28</v>
      </c>
      <c r="B31" s="205"/>
      <c r="C31" s="205" t="s">
        <v>179</v>
      </c>
      <c r="D31" s="264" t="s">
        <v>184</v>
      </c>
      <c r="E31" s="205" t="s">
        <v>72</v>
      </c>
      <c r="F31" s="276"/>
      <c r="G31" s="266"/>
      <c r="H31" s="362"/>
      <c r="I31" s="276"/>
      <c r="J31" s="483"/>
      <c r="K31" s="276"/>
      <c r="L31" s="276"/>
      <c r="M31" s="276"/>
      <c r="N31" s="265">
        <f t="shared" si="0"/>
        <v>0</v>
      </c>
      <c r="O31" s="265">
        <f t="shared" si="1"/>
        <v>0</v>
      </c>
      <c r="P31" s="362"/>
      <c r="Q31" s="362"/>
      <c r="R31" s="197" t="s">
        <v>13</v>
      </c>
    </row>
    <row r="32" spans="1:18" ht="111" customHeight="1" x14ac:dyDescent="0.35">
      <c r="A32" s="205">
        <v>29</v>
      </c>
      <c r="B32" s="205">
        <v>892085001</v>
      </c>
      <c r="C32" s="205" t="s">
        <v>179</v>
      </c>
      <c r="D32" s="264" t="s">
        <v>185</v>
      </c>
      <c r="E32" s="205" t="s">
        <v>120</v>
      </c>
      <c r="F32" s="265">
        <v>100000</v>
      </c>
      <c r="G32" s="266"/>
      <c r="H32" s="355">
        <f>18371+1908</f>
        <v>20279</v>
      </c>
      <c r="I32" s="265"/>
      <c r="J32" s="266"/>
      <c r="K32" s="265">
        <f>52231.3+3665+12065</f>
        <v>67961.3</v>
      </c>
      <c r="L32" s="265"/>
      <c r="M32" s="265"/>
      <c r="N32" s="265">
        <f t="shared" si="0"/>
        <v>73436.63</v>
      </c>
      <c r="O32" s="265">
        <f t="shared" si="1"/>
        <v>26563.369999999995</v>
      </c>
      <c r="P32" s="377" t="s">
        <v>881</v>
      </c>
      <c r="Q32" s="377" t="s">
        <v>882</v>
      </c>
      <c r="R32" s="197" t="s">
        <v>357</v>
      </c>
    </row>
    <row r="33" spans="1:18" ht="72.650000000000006" customHeight="1" x14ac:dyDescent="0.35">
      <c r="A33" s="205">
        <v>30</v>
      </c>
      <c r="B33" s="205">
        <v>4270</v>
      </c>
      <c r="C33" s="205" t="s">
        <v>179</v>
      </c>
      <c r="D33" s="264" t="s">
        <v>407</v>
      </c>
      <c r="E33" s="197" t="s">
        <v>384</v>
      </c>
      <c r="F33" s="265">
        <v>10000</v>
      </c>
      <c r="G33" s="266"/>
      <c r="H33" s="355">
        <v>12060</v>
      </c>
      <c r="I33" s="265">
        <v>456.68</v>
      </c>
      <c r="J33" s="266">
        <v>40500</v>
      </c>
      <c r="K33" s="265">
        <v>2916.81</v>
      </c>
      <c r="L33" s="265"/>
      <c r="M33" s="265"/>
      <c r="N33" s="265">
        <f t="shared" si="0"/>
        <v>7095.0349999999999</v>
      </c>
      <c r="O33" s="265">
        <f t="shared" si="1"/>
        <v>2904.9650000000001</v>
      </c>
      <c r="P33" s="377" t="s">
        <v>674</v>
      </c>
      <c r="Q33" s="377" t="s">
        <v>673</v>
      </c>
      <c r="R33" s="197" t="s">
        <v>13</v>
      </c>
    </row>
    <row r="34" spans="1:18" ht="30" customHeight="1" x14ac:dyDescent="0.35">
      <c r="A34" s="205">
        <v>31</v>
      </c>
      <c r="B34" s="205"/>
      <c r="C34" s="205" t="s">
        <v>179</v>
      </c>
      <c r="D34" s="264" t="s">
        <v>186</v>
      </c>
      <c r="E34" s="205" t="s">
        <v>120</v>
      </c>
      <c r="F34" s="250">
        <v>25000</v>
      </c>
      <c r="G34" s="266"/>
      <c r="H34" s="363"/>
      <c r="I34" s="341"/>
      <c r="J34" s="479"/>
      <c r="K34" s="434"/>
      <c r="L34" s="457"/>
      <c r="M34" s="572"/>
      <c r="N34" s="265">
        <f t="shared" si="0"/>
        <v>0</v>
      </c>
      <c r="O34" s="265">
        <f t="shared" si="1"/>
        <v>25000</v>
      </c>
      <c r="P34" s="363"/>
      <c r="Q34" s="363"/>
      <c r="R34" s="197" t="s">
        <v>13</v>
      </c>
    </row>
    <row r="35" spans="1:18" ht="164.25" customHeight="1" x14ac:dyDescent="0.35">
      <c r="A35" s="205">
        <v>32</v>
      </c>
      <c r="B35" s="205"/>
      <c r="C35" s="205" t="s">
        <v>179</v>
      </c>
      <c r="D35" s="264" t="s">
        <v>187</v>
      </c>
      <c r="E35" s="205" t="s">
        <v>92</v>
      </c>
      <c r="F35" s="265">
        <v>50000</v>
      </c>
      <c r="G35" s="266"/>
      <c r="H35" s="355">
        <f>1411.7+3145.29+23010+605.52+1100+635.89+1891.55+11294+9450</f>
        <v>52543.95</v>
      </c>
      <c r="I35" s="265"/>
      <c r="J35" s="266"/>
      <c r="K35" s="265"/>
      <c r="L35" s="265"/>
      <c r="M35" s="265"/>
      <c r="N35" s="265">
        <f t="shared" si="0"/>
        <v>14186.8665</v>
      </c>
      <c r="O35" s="265">
        <f t="shared" si="1"/>
        <v>35813.133499999996</v>
      </c>
      <c r="P35" s="377" t="s">
        <v>749</v>
      </c>
      <c r="Q35" s="377" t="s">
        <v>750</v>
      </c>
      <c r="R35" s="197" t="s">
        <v>13</v>
      </c>
    </row>
    <row r="36" spans="1:18" ht="306.75" customHeight="1" x14ac:dyDescent="0.35">
      <c r="A36" s="205">
        <v>33</v>
      </c>
      <c r="B36" s="205">
        <v>196062004</v>
      </c>
      <c r="C36" s="205" t="s">
        <v>188</v>
      </c>
      <c r="D36" s="264" t="s">
        <v>189</v>
      </c>
      <c r="E36" s="205"/>
      <c r="F36" s="274">
        <v>50000</v>
      </c>
      <c r="G36" s="266"/>
      <c r="H36" s="360">
        <f>28649+10327+2000+8575+1000+7227+425</f>
        <v>58203</v>
      </c>
      <c r="I36" s="274"/>
      <c r="J36" s="480">
        <v>85350</v>
      </c>
      <c r="K36" s="274">
        <v>5117.5</v>
      </c>
      <c r="L36" s="274"/>
      <c r="M36" s="274"/>
      <c r="N36" s="265">
        <f t="shared" si="0"/>
        <v>21812.981500000002</v>
      </c>
      <c r="O36" s="265">
        <f t="shared" si="1"/>
        <v>28187.018499999998</v>
      </c>
      <c r="P36" s="371" t="s">
        <v>897</v>
      </c>
      <c r="Q36" s="371" t="s">
        <v>898</v>
      </c>
      <c r="R36" s="197" t="s">
        <v>13</v>
      </c>
    </row>
    <row r="37" spans="1:18" ht="30" customHeight="1" x14ac:dyDescent="0.35">
      <c r="A37" s="205">
        <v>34</v>
      </c>
      <c r="B37" s="205"/>
      <c r="C37" s="205" t="s">
        <v>188</v>
      </c>
      <c r="D37" s="264" t="s">
        <v>190</v>
      </c>
      <c r="E37" s="205" t="s">
        <v>92</v>
      </c>
      <c r="F37" s="265">
        <v>25000</v>
      </c>
      <c r="G37" s="266"/>
      <c r="H37" s="355">
        <v>4703</v>
      </c>
      <c r="I37" s="265"/>
      <c r="J37" s="266"/>
      <c r="K37" s="265"/>
      <c r="L37" s="265"/>
      <c r="M37" s="265"/>
      <c r="N37" s="265">
        <f t="shared" si="0"/>
        <v>1269.8100000000002</v>
      </c>
      <c r="O37" s="265">
        <f t="shared" si="1"/>
        <v>23730.19</v>
      </c>
      <c r="P37" s="355" t="s">
        <v>887</v>
      </c>
      <c r="Q37" s="355" t="s">
        <v>888</v>
      </c>
      <c r="R37" s="197" t="s">
        <v>13</v>
      </c>
    </row>
    <row r="38" spans="1:18" ht="30" customHeight="1" x14ac:dyDescent="0.35">
      <c r="A38" s="205">
        <v>35</v>
      </c>
      <c r="B38" s="205"/>
      <c r="C38" s="197" t="s">
        <v>375</v>
      </c>
      <c r="D38" s="328" t="s">
        <v>385</v>
      </c>
      <c r="E38" s="205" t="s">
        <v>92</v>
      </c>
      <c r="F38" s="265">
        <v>25000</v>
      </c>
      <c r="G38" s="266"/>
      <c r="H38" s="355"/>
      <c r="I38" s="265"/>
      <c r="J38" s="266"/>
      <c r="K38" s="265"/>
      <c r="L38" s="265"/>
      <c r="M38" s="265"/>
      <c r="N38" s="265">
        <f t="shared" si="0"/>
        <v>0</v>
      </c>
      <c r="O38" s="265">
        <f t="shared" si="1"/>
        <v>25000</v>
      </c>
      <c r="P38" s="355"/>
      <c r="Q38" s="355"/>
      <c r="R38" s="197" t="s">
        <v>13</v>
      </c>
    </row>
    <row r="39" spans="1:18" ht="54.75" customHeight="1" x14ac:dyDescent="0.35">
      <c r="A39" s="205">
        <v>36</v>
      </c>
      <c r="B39" s="205"/>
      <c r="C39" s="197" t="s">
        <v>382</v>
      </c>
      <c r="D39" s="328" t="s">
        <v>383</v>
      </c>
      <c r="E39" s="197" t="s">
        <v>384</v>
      </c>
      <c r="F39" s="265">
        <v>100000</v>
      </c>
      <c r="G39" s="266"/>
      <c r="H39" s="355">
        <f>7000+19700+8465</f>
        <v>35165</v>
      </c>
      <c r="I39" s="265"/>
      <c r="J39" s="266"/>
      <c r="K39" s="265"/>
      <c r="L39" s="265"/>
      <c r="M39" s="265"/>
      <c r="N39" s="265">
        <f t="shared" si="0"/>
        <v>9494.5500000000011</v>
      </c>
      <c r="O39" s="265">
        <f t="shared" si="1"/>
        <v>90505.45</v>
      </c>
      <c r="P39" s="377" t="s">
        <v>864</v>
      </c>
      <c r="Q39" s="377" t="s">
        <v>865</v>
      </c>
      <c r="R39" s="197" t="s">
        <v>13</v>
      </c>
    </row>
    <row r="40" spans="1:18" ht="30" customHeight="1" x14ac:dyDescent="0.35">
      <c r="A40" s="205">
        <v>37</v>
      </c>
      <c r="B40" s="205"/>
      <c r="C40" s="197" t="s">
        <v>179</v>
      </c>
      <c r="D40" s="328" t="s">
        <v>446</v>
      </c>
      <c r="E40" s="197" t="s">
        <v>384</v>
      </c>
      <c r="F40" s="265">
        <v>50000</v>
      </c>
      <c r="G40" s="266"/>
      <c r="H40" s="355"/>
      <c r="I40" s="265"/>
      <c r="J40" s="266"/>
      <c r="K40" s="265"/>
      <c r="L40" s="265">
        <v>12790</v>
      </c>
      <c r="M40" s="265"/>
      <c r="N40" s="265">
        <f t="shared" si="0"/>
        <v>12790</v>
      </c>
      <c r="O40" s="265">
        <f t="shared" si="1"/>
        <v>37210</v>
      </c>
      <c r="P40" s="355" t="s">
        <v>715</v>
      </c>
      <c r="Q40" s="355"/>
      <c r="R40" s="197" t="s">
        <v>13</v>
      </c>
    </row>
    <row r="41" spans="1:18" ht="30" customHeight="1" x14ac:dyDescent="0.35">
      <c r="A41" s="691" t="s">
        <v>15</v>
      </c>
      <c r="B41" s="692"/>
      <c r="C41" s="692"/>
      <c r="D41" s="692"/>
      <c r="E41" s="692"/>
      <c r="F41" s="278">
        <f>SUM(F4:F40)</f>
        <v>1320000</v>
      </c>
      <c r="G41" s="279">
        <f>SUM(G4:G40)</f>
        <v>4350000</v>
      </c>
      <c r="H41" s="364"/>
      <c r="I41" s="278"/>
      <c r="J41" s="484"/>
      <c r="K41" s="278"/>
      <c r="L41" s="278"/>
      <c r="M41" s="278"/>
      <c r="N41" s="278">
        <f>SUM(N4:N40)</f>
        <v>712385.22364000021</v>
      </c>
      <c r="O41" s="278">
        <f>F41-N41</f>
        <v>607614.77635999979</v>
      </c>
      <c r="P41" s="364"/>
      <c r="Q41" s="364"/>
      <c r="R41" s="280"/>
    </row>
  </sheetData>
  <mergeCells count="2">
    <mergeCell ref="A1:R1"/>
    <mergeCell ref="A41:E41"/>
  </mergeCells>
  <conditionalFormatting sqref="O4:O40">
    <cfRule type="cellIs" dxfId="7" priority="1" operator="lessThan">
      <formula>0</formula>
    </cfRule>
    <cfRule type="cellIs" dxfId="6" priority="2" operator="greaterThan">
      <formula>0</formula>
    </cfRule>
  </conditionalFormatting>
  <pageMargins left="0.7" right="0.7" top="0.75" bottom="0.75" header="0.3" footer="0.3"/>
  <pageSetup paperSize="9"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6"/>
  <sheetViews>
    <sheetView topLeftCell="F1" zoomScale="71" zoomScaleNormal="71" workbookViewId="0">
      <pane ySplit="3" topLeftCell="A49" activePane="bottomLeft" state="frozen"/>
      <selection pane="bottomLeft" activeCell="L52" sqref="L52"/>
    </sheetView>
  </sheetViews>
  <sheetFormatPr defaultRowHeight="14.5" x14ac:dyDescent="0.35"/>
  <cols>
    <col min="1" max="1" width="9.1796875" style="201"/>
    <col min="2" max="2" width="9.81640625" style="201" hidden="1" customWidth="1"/>
    <col min="3" max="3" width="21.26953125" style="201" customWidth="1"/>
    <col min="4" max="4" width="63.81640625" style="201" customWidth="1"/>
    <col min="5" max="5" width="22.1796875" style="201" bestFit="1" customWidth="1"/>
    <col min="6" max="6" width="19.26953125" style="201" customWidth="1"/>
    <col min="7" max="7" width="24.81640625" style="201" customWidth="1"/>
    <col min="8" max="8" width="24.81640625" style="349" customWidth="1"/>
    <col min="9" max="9" width="24.81640625" style="388" customWidth="1"/>
    <col min="10" max="10" width="24.81640625" style="495" customWidth="1"/>
    <col min="11" max="15" width="24.81640625" style="388" customWidth="1"/>
    <col min="16" max="16" width="24.81640625" style="376" customWidth="1"/>
    <col min="17" max="17" width="31.26953125" style="349" customWidth="1"/>
    <col min="18" max="18" width="27.453125" style="201" customWidth="1"/>
    <col min="19" max="19" width="28.81640625" style="255" customWidth="1"/>
    <col min="20" max="20" width="26.7265625" customWidth="1"/>
  </cols>
  <sheetData>
    <row r="1" spans="1:19" ht="36.65" customHeight="1" thickBot="1" x14ac:dyDescent="0.4">
      <c r="A1" s="693" t="s">
        <v>351</v>
      </c>
      <c r="B1" s="694"/>
      <c r="C1" s="694"/>
      <c r="D1" s="694"/>
      <c r="E1" s="694"/>
      <c r="F1" s="694"/>
      <c r="G1" s="694"/>
      <c r="H1" s="694"/>
      <c r="I1" s="694"/>
      <c r="J1" s="694"/>
      <c r="K1" s="694"/>
      <c r="L1" s="694"/>
      <c r="M1" s="694"/>
      <c r="N1" s="694"/>
      <c r="O1" s="694"/>
      <c r="P1" s="694"/>
      <c r="Q1" s="694"/>
      <c r="R1" s="694"/>
      <c r="S1" s="695"/>
    </row>
    <row r="2" spans="1:19" ht="37.5" customHeight="1" x14ac:dyDescent="0.35">
      <c r="A2" s="214" t="s">
        <v>9</v>
      </c>
      <c r="B2" s="214"/>
      <c r="C2" s="696" t="s">
        <v>191</v>
      </c>
      <c r="D2" s="696"/>
      <c r="E2" s="696"/>
      <c r="F2" s="696"/>
      <c r="G2" s="696"/>
      <c r="H2" s="345"/>
      <c r="I2" s="384"/>
      <c r="J2" s="493"/>
      <c r="K2" s="384"/>
      <c r="L2" s="384"/>
      <c r="M2" s="384"/>
      <c r="N2" s="384"/>
      <c r="O2" s="384"/>
      <c r="P2" s="345"/>
      <c r="Q2" s="345"/>
      <c r="R2" s="243"/>
      <c r="S2" s="244"/>
    </row>
    <row r="3" spans="1:19" ht="29" x14ac:dyDescent="0.35">
      <c r="A3" s="245" t="s">
        <v>2</v>
      </c>
      <c r="B3" s="245"/>
      <c r="C3" s="246" t="s">
        <v>55</v>
      </c>
      <c r="D3" s="246" t="s">
        <v>56</v>
      </c>
      <c r="E3" s="246" t="s">
        <v>192</v>
      </c>
      <c r="F3" s="246" t="s">
        <v>58</v>
      </c>
      <c r="G3" s="246" t="s">
        <v>341</v>
      </c>
      <c r="H3" s="354" t="s">
        <v>687</v>
      </c>
      <c r="I3" s="242" t="s">
        <v>688</v>
      </c>
      <c r="J3" s="475" t="s">
        <v>689</v>
      </c>
      <c r="K3" s="242" t="s">
        <v>664</v>
      </c>
      <c r="L3" s="242" t="s">
        <v>714</v>
      </c>
      <c r="M3" s="577" t="s">
        <v>768</v>
      </c>
      <c r="N3" s="239" t="s">
        <v>718</v>
      </c>
      <c r="O3" s="437" t="s">
        <v>721</v>
      </c>
      <c r="P3" s="354" t="s">
        <v>555</v>
      </c>
      <c r="Q3" s="354" t="s">
        <v>526</v>
      </c>
      <c r="R3" s="246" t="s">
        <v>6</v>
      </c>
      <c r="S3" s="247" t="s">
        <v>332</v>
      </c>
    </row>
    <row r="4" spans="1:19" ht="78" customHeight="1" x14ac:dyDescent="0.35">
      <c r="A4" s="205">
        <v>1</v>
      </c>
      <c r="B4" s="205"/>
      <c r="C4" s="197" t="s">
        <v>193</v>
      </c>
      <c r="D4" s="197" t="s">
        <v>194</v>
      </c>
      <c r="E4" s="205" t="s">
        <v>60</v>
      </c>
      <c r="F4" s="248">
        <v>50000</v>
      </c>
      <c r="G4" s="249">
        <f>F4*87</f>
        <v>4350000</v>
      </c>
      <c r="H4" s="346">
        <f>9225+5838</f>
        <v>15063</v>
      </c>
      <c r="I4" s="385"/>
      <c r="J4" s="494"/>
      <c r="K4" s="385"/>
      <c r="L4" s="385">
        <v>15219</v>
      </c>
      <c r="M4" s="385"/>
      <c r="N4" s="385">
        <f>H4*0.27+I4+J4*0.01149+K4+L4</f>
        <v>19286.010000000002</v>
      </c>
      <c r="O4" s="385">
        <f>F4-N4</f>
        <v>30713.989999999998</v>
      </c>
      <c r="P4" s="592" t="s">
        <v>833</v>
      </c>
      <c r="Q4" s="593" t="s">
        <v>834</v>
      </c>
      <c r="R4" s="197" t="s">
        <v>13</v>
      </c>
      <c r="S4" s="250"/>
    </row>
    <row r="5" spans="1:19" ht="60" customHeight="1" x14ac:dyDescent="0.35">
      <c r="A5" s="205">
        <v>2</v>
      </c>
      <c r="B5" s="205"/>
      <c r="C5" s="197" t="s">
        <v>193</v>
      </c>
      <c r="D5" s="197" t="s">
        <v>195</v>
      </c>
      <c r="E5" s="205" t="s">
        <v>60</v>
      </c>
      <c r="F5" s="248">
        <v>25000</v>
      </c>
      <c r="G5" s="249">
        <f t="shared" ref="G5:G65" si="0">F5*87</f>
        <v>2175000</v>
      </c>
      <c r="H5" s="346"/>
      <c r="I5" s="385"/>
      <c r="J5" s="494"/>
      <c r="K5" s="385"/>
      <c r="L5" s="385"/>
      <c r="M5" s="385"/>
      <c r="N5" s="385">
        <f t="shared" ref="N5:N65" si="1">H5*0.27+I5+J5*0.01149+K5+L5</f>
        <v>0</v>
      </c>
      <c r="O5" s="385">
        <f t="shared" ref="O5:O65" si="2">F5-N5</f>
        <v>25000</v>
      </c>
      <c r="P5" s="373"/>
      <c r="Q5" s="346"/>
      <c r="R5" s="197" t="s">
        <v>13</v>
      </c>
      <c r="S5" s="250"/>
    </row>
    <row r="6" spans="1:19" ht="79.5" customHeight="1" x14ac:dyDescent="0.35">
      <c r="A6" s="205">
        <v>3</v>
      </c>
      <c r="B6" s="205"/>
      <c r="C6" s="197" t="s">
        <v>193</v>
      </c>
      <c r="D6" s="197" t="s">
        <v>196</v>
      </c>
      <c r="E6" s="205" t="s">
        <v>60</v>
      </c>
      <c r="F6" s="248">
        <v>10000</v>
      </c>
      <c r="G6" s="249">
        <f t="shared" si="0"/>
        <v>870000</v>
      </c>
      <c r="H6" s="346">
        <v>14896</v>
      </c>
      <c r="I6" s="385"/>
      <c r="J6" s="494">
        <v>225000</v>
      </c>
      <c r="K6" s="385"/>
      <c r="L6" s="385"/>
      <c r="M6" s="385"/>
      <c r="N6" s="385">
        <f t="shared" si="1"/>
        <v>6607.17</v>
      </c>
      <c r="O6" s="385">
        <f t="shared" si="2"/>
        <v>3392.83</v>
      </c>
      <c r="P6" s="452" t="s">
        <v>704</v>
      </c>
      <c r="Q6" s="422" t="s">
        <v>703</v>
      </c>
      <c r="R6" s="197" t="s">
        <v>13</v>
      </c>
      <c r="S6" s="250"/>
    </row>
    <row r="7" spans="1:19" ht="78.75" customHeight="1" x14ac:dyDescent="0.35">
      <c r="A7" s="205">
        <v>4</v>
      </c>
      <c r="B7" s="205"/>
      <c r="C7" s="197" t="s">
        <v>193</v>
      </c>
      <c r="D7" s="197" t="s">
        <v>197</v>
      </c>
      <c r="E7" s="205" t="s">
        <v>60</v>
      </c>
      <c r="F7" s="248">
        <v>25000</v>
      </c>
      <c r="G7" s="249">
        <f t="shared" si="0"/>
        <v>2175000</v>
      </c>
      <c r="H7" s="346">
        <v>14700</v>
      </c>
      <c r="I7" s="385"/>
      <c r="J7" s="494"/>
      <c r="K7" s="385"/>
      <c r="L7" s="385">
        <v>19580</v>
      </c>
      <c r="M7" s="385"/>
      <c r="N7" s="385">
        <f t="shared" si="1"/>
        <v>23549</v>
      </c>
      <c r="O7" s="385">
        <f t="shared" si="2"/>
        <v>1451</v>
      </c>
      <c r="P7" s="373" t="s">
        <v>747</v>
      </c>
      <c r="Q7" s="346" t="s">
        <v>748</v>
      </c>
      <c r="R7" s="197" t="s">
        <v>13</v>
      </c>
      <c r="S7" s="250"/>
    </row>
    <row r="8" spans="1:19" ht="41.25" customHeight="1" x14ac:dyDescent="0.35">
      <c r="A8" s="205">
        <v>5</v>
      </c>
      <c r="B8" s="205"/>
      <c r="C8" s="197" t="s">
        <v>193</v>
      </c>
      <c r="D8" s="197" t="s">
        <v>198</v>
      </c>
      <c r="E8" s="205" t="s">
        <v>60</v>
      </c>
      <c r="F8" s="248">
        <v>100000</v>
      </c>
      <c r="G8" s="249">
        <f t="shared" si="0"/>
        <v>8700000</v>
      </c>
      <c r="H8" s="346">
        <v>6437.49</v>
      </c>
      <c r="I8" s="385"/>
      <c r="J8" s="494"/>
      <c r="K8" s="385"/>
      <c r="L8" s="385"/>
      <c r="M8" s="385"/>
      <c r="N8" s="385">
        <f t="shared" si="1"/>
        <v>1738.1223</v>
      </c>
      <c r="O8" s="385">
        <f t="shared" si="2"/>
        <v>98261.877699999997</v>
      </c>
      <c r="P8" s="373" t="s">
        <v>585</v>
      </c>
      <c r="Q8" s="346" t="s">
        <v>586</v>
      </c>
      <c r="R8" s="197" t="s">
        <v>13</v>
      </c>
      <c r="S8" s="250"/>
    </row>
    <row r="9" spans="1:19" ht="79.5" customHeight="1" x14ac:dyDescent="0.35">
      <c r="A9" s="675">
        <v>6</v>
      </c>
      <c r="B9" s="675">
        <v>434</v>
      </c>
      <c r="C9" s="677" t="s">
        <v>193</v>
      </c>
      <c r="D9" s="197" t="s">
        <v>274</v>
      </c>
      <c r="E9" s="205" t="s">
        <v>60</v>
      </c>
      <c r="F9" s="248">
        <v>50000</v>
      </c>
      <c r="G9" s="249">
        <f t="shared" si="0"/>
        <v>4350000</v>
      </c>
      <c r="H9" s="346">
        <v>220</v>
      </c>
      <c r="I9" s="385"/>
      <c r="J9" s="494"/>
      <c r="K9" s="385"/>
      <c r="L9" s="385"/>
      <c r="M9" s="385"/>
      <c r="N9" s="385">
        <f t="shared" si="1"/>
        <v>59.400000000000006</v>
      </c>
      <c r="O9" s="385">
        <f t="shared" si="2"/>
        <v>49940.6</v>
      </c>
      <c r="P9" s="373" t="s">
        <v>563</v>
      </c>
      <c r="Q9" s="346" t="s">
        <v>564</v>
      </c>
      <c r="R9" s="197" t="s">
        <v>13</v>
      </c>
      <c r="S9" s="250"/>
    </row>
    <row r="10" spans="1:19" ht="29.25" customHeight="1" x14ac:dyDescent="0.35">
      <c r="A10" s="682"/>
      <c r="B10" s="682"/>
      <c r="C10" s="683"/>
      <c r="D10" s="197" t="s">
        <v>275</v>
      </c>
      <c r="E10" s="205"/>
      <c r="F10" s="248">
        <v>25000</v>
      </c>
      <c r="G10" s="249">
        <f t="shared" si="0"/>
        <v>2175000</v>
      </c>
      <c r="H10" s="346"/>
      <c r="I10" s="385"/>
      <c r="J10" s="494"/>
      <c r="K10" s="385"/>
      <c r="L10" s="385"/>
      <c r="M10" s="385"/>
      <c r="N10" s="385">
        <f t="shared" si="1"/>
        <v>0</v>
      </c>
      <c r="O10" s="385">
        <f t="shared" si="2"/>
        <v>25000</v>
      </c>
      <c r="P10" s="373"/>
      <c r="Q10" s="346"/>
      <c r="R10" s="197" t="s">
        <v>13</v>
      </c>
      <c r="S10" s="250"/>
    </row>
    <row r="11" spans="1:19" ht="51.75" customHeight="1" x14ac:dyDescent="0.35">
      <c r="A11" s="205">
        <v>7</v>
      </c>
      <c r="B11" s="205"/>
      <c r="C11" s="197" t="s">
        <v>193</v>
      </c>
      <c r="D11" s="197" t="s">
        <v>199</v>
      </c>
      <c r="E11" s="205" t="s">
        <v>60</v>
      </c>
      <c r="F11" s="248">
        <v>10000</v>
      </c>
      <c r="G11" s="249">
        <f t="shared" si="0"/>
        <v>870000</v>
      </c>
      <c r="H11" s="346"/>
      <c r="I11" s="385"/>
      <c r="J11" s="494"/>
      <c r="K11" s="385"/>
      <c r="L11" s="385"/>
      <c r="M11" s="385"/>
      <c r="N11" s="385">
        <f t="shared" si="1"/>
        <v>0</v>
      </c>
      <c r="O11" s="385">
        <f t="shared" si="2"/>
        <v>10000</v>
      </c>
      <c r="P11" s="373"/>
      <c r="Q11" s="346"/>
      <c r="R11" s="197" t="s">
        <v>13</v>
      </c>
      <c r="S11" s="250"/>
    </row>
    <row r="12" spans="1:19" ht="45" customHeight="1" x14ac:dyDescent="0.35">
      <c r="A12" s="205">
        <v>8</v>
      </c>
      <c r="B12" s="205"/>
      <c r="C12" s="197" t="s">
        <v>193</v>
      </c>
      <c r="D12" s="197" t="s">
        <v>200</v>
      </c>
      <c r="E12" s="205" t="s">
        <v>60</v>
      </c>
      <c r="F12" s="248">
        <v>10000</v>
      </c>
      <c r="G12" s="249">
        <f t="shared" si="0"/>
        <v>870000</v>
      </c>
      <c r="H12" s="346"/>
      <c r="I12" s="385"/>
      <c r="J12" s="494"/>
      <c r="K12" s="385"/>
      <c r="L12" s="385"/>
      <c r="M12" s="385"/>
      <c r="N12" s="385">
        <f t="shared" si="1"/>
        <v>0</v>
      </c>
      <c r="O12" s="385">
        <f t="shared" si="2"/>
        <v>10000</v>
      </c>
      <c r="P12" s="373"/>
      <c r="Q12" s="346"/>
      <c r="R12" s="197" t="s">
        <v>13</v>
      </c>
      <c r="S12" s="250"/>
    </row>
    <row r="13" spans="1:19" ht="43.5" customHeight="1" x14ac:dyDescent="0.35">
      <c r="A13" s="205">
        <v>9</v>
      </c>
      <c r="B13" s="205"/>
      <c r="C13" s="197" t="s">
        <v>201</v>
      </c>
      <c r="D13" s="197" t="s">
        <v>202</v>
      </c>
      <c r="E13" s="205" t="s">
        <v>60</v>
      </c>
      <c r="F13" s="248">
        <v>10000</v>
      </c>
      <c r="G13" s="249">
        <f t="shared" si="0"/>
        <v>870000</v>
      </c>
      <c r="H13" s="346"/>
      <c r="I13" s="385"/>
      <c r="J13" s="494"/>
      <c r="K13" s="385"/>
      <c r="L13" s="385"/>
      <c r="M13" s="385"/>
      <c r="N13" s="385">
        <f t="shared" si="1"/>
        <v>0</v>
      </c>
      <c r="O13" s="385">
        <f t="shared" si="2"/>
        <v>10000</v>
      </c>
      <c r="P13" s="373"/>
      <c r="Q13" s="346"/>
      <c r="R13" s="197" t="s">
        <v>13</v>
      </c>
      <c r="S13" s="250"/>
    </row>
    <row r="14" spans="1:19" ht="29.25" customHeight="1" x14ac:dyDescent="0.35">
      <c r="A14" s="205">
        <v>10</v>
      </c>
      <c r="B14" s="205"/>
      <c r="C14" s="197" t="s">
        <v>203</v>
      </c>
      <c r="D14" s="197" t="s">
        <v>204</v>
      </c>
      <c r="E14" s="205" t="s">
        <v>120</v>
      </c>
      <c r="F14" s="248">
        <v>10000</v>
      </c>
      <c r="G14" s="249">
        <f t="shared" si="0"/>
        <v>870000</v>
      </c>
      <c r="H14" s="346"/>
      <c r="I14" s="385"/>
      <c r="J14" s="494"/>
      <c r="K14" s="385"/>
      <c r="L14" s="385"/>
      <c r="M14" s="385"/>
      <c r="N14" s="385">
        <f t="shared" si="1"/>
        <v>0</v>
      </c>
      <c r="O14" s="385">
        <f t="shared" si="2"/>
        <v>10000</v>
      </c>
      <c r="P14" s="373"/>
      <c r="Q14" s="346"/>
      <c r="R14" s="197" t="s">
        <v>13</v>
      </c>
      <c r="S14" s="250"/>
    </row>
    <row r="15" spans="1:19" ht="96.75" customHeight="1" x14ac:dyDescent="0.35">
      <c r="A15" s="205">
        <v>11</v>
      </c>
      <c r="B15" s="205"/>
      <c r="C15" s="197" t="s">
        <v>205</v>
      </c>
      <c r="D15" s="197" t="s">
        <v>468</v>
      </c>
      <c r="E15" s="205" t="s">
        <v>60</v>
      </c>
      <c r="F15" s="248">
        <v>400000</v>
      </c>
      <c r="G15" s="249">
        <f t="shared" si="0"/>
        <v>34800000</v>
      </c>
      <c r="H15" s="346">
        <f>13656+10000</f>
        <v>23656</v>
      </c>
      <c r="I15" s="385">
        <f>6984+12000+4200</f>
        <v>23184</v>
      </c>
      <c r="J15" s="494"/>
      <c r="K15" s="385"/>
      <c r="L15" s="385"/>
      <c r="M15" s="385"/>
      <c r="N15" s="385">
        <f t="shared" si="1"/>
        <v>29571.120000000003</v>
      </c>
      <c r="O15" s="385">
        <f t="shared" si="2"/>
        <v>370428.88</v>
      </c>
      <c r="P15" s="452" t="s">
        <v>895</v>
      </c>
      <c r="Q15" s="422" t="s">
        <v>896</v>
      </c>
      <c r="R15" s="197" t="s">
        <v>13</v>
      </c>
      <c r="S15" s="250"/>
    </row>
    <row r="16" spans="1:19" ht="30" customHeight="1" x14ac:dyDescent="0.35">
      <c r="A16" s="205">
        <v>12</v>
      </c>
      <c r="B16" s="205"/>
      <c r="C16" s="197" t="s">
        <v>205</v>
      </c>
      <c r="D16" s="197" t="s">
        <v>206</v>
      </c>
      <c r="E16" s="205" t="s">
        <v>60</v>
      </c>
      <c r="F16" s="251"/>
      <c r="G16" s="249">
        <f t="shared" si="0"/>
        <v>0</v>
      </c>
      <c r="H16" s="346"/>
      <c r="I16" s="385"/>
      <c r="J16" s="494"/>
      <c r="K16" s="385"/>
      <c r="L16" s="385"/>
      <c r="M16" s="385"/>
      <c r="N16" s="385">
        <f t="shared" si="1"/>
        <v>0</v>
      </c>
      <c r="O16" s="385"/>
      <c r="P16" s="373"/>
      <c r="Q16" s="346"/>
      <c r="R16" s="250" t="s">
        <v>467</v>
      </c>
      <c r="S16" s="250"/>
    </row>
    <row r="17" spans="1:19" ht="30" customHeight="1" x14ac:dyDescent="0.35">
      <c r="A17" s="205">
        <v>13</v>
      </c>
      <c r="B17" s="205"/>
      <c r="C17" s="197" t="s">
        <v>205</v>
      </c>
      <c r="D17" s="197" t="s">
        <v>207</v>
      </c>
      <c r="E17" s="205" t="s">
        <v>60</v>
      </c>
      <c r="F17" s="248"/>
      <c r="G17" s="249">
        <f t="shared" si="0"/>
        <v>0</v>
      </c>
      <c r="H17" s="346"/>
      <c r="I17" s="385"/>
      <c r="J17" s="494"/>
      <c r="K17" s="385"/>
      <c r="L17" s="385"/>
      <c r="M17" s="385"/>
      <c r="N17" s="385">
        <f t="shared" si="1"/>
        <v>0</v>
      </c>
      <c r="O17" s="385"/>
      <c r="P17" s="373"/>
      <c r="Q17" s="346"/>
      <c r="R17" s="250" t="s">
        <v>467</v>
      </c>
      <c r="S17" s="250"/>
    </row>
    <row r="18" spans="1:19" ht="30" customHeight="1" x14ac:dyDescent="0.35">
      <c r="A18" s="205">
        <v>14</v>
      </c>
      <c r="B18" s="205"/>
      <c r="C18" s="197" t="s">
        <v>205</v>
      </c>
      <c r="D18" s="197" t="s">
        <v>208</v>
      </c>
      <c r="E18" s="205" t="s">
        <v>72</v>
      </c>
      <c r="F18" s="248"/>
      <c r="G18" s="249">
        <f t="shared" si="0"/>
        <v>0</v>
      </c>
      <c r="H18" s="346"/>
      <c r="I18" s="385"/>
      <c r="J18" s="494"/>
      <c r="K18" s="385"/>
      <c r="L18" s="385"/>
      <c r="M18" s="385"/>
      <c r="N18" s="385">
        <f t="shared" si="1"/>
        <v>0</v>
      </c>
      <c r="O18" s="385"/>
      <c r="P18" s="373"/>
      <c r="Q18" s="346"/>
      <c r="R18" s="250" t="s">
        <v>467</v>
      </c>
      <c r="S18" s="250"/>
    </row>
    <row r="19" spans="1:19" ht="30" customHeight="1" x14ac:dyDescent="0.35">
      <c r="A19" s="205">
        <v>15</v>
      </c>
      <c r="B19" s="205"/>
      <c r="C19" s="197" t="s">
        <v>205</v>
      </c>
      <c r="D19" s="197" t="s">
        <v>209</v>
      </c>
      <c r="E19" s="205" t="s">
        <v>60</v>
      </c>
      <c r="F19" s="248"/>
      <c r="G19" s="249">
        <f t="shared" si="0"/>
        <v>0</v>
      </c>
      <c r="H19" s="346"/>
      <c r="I19" s="385"/>
      <c r="J19" s="494"/>
      <c r="K19" s="385"/>
      <c r="L19" s="385"/>
      <c r="M19" s="385"/>
      <c r="N19" s="385">
        <f t="shared" si="1"/>
        <v>0</v>
      </c>
      <c r="O19" s="385"/>
      <c r="P19" s="373"/>
      <c r="Q19" s="346"/>
      <c r="R19" s="250" t="s">
        <v>467</v>
      </c>
      <c r="S19" s="250"/>
    </row>
    <row r="20" spans="1:19" ht="30" customHeight="1" x14ac:dyDescent="0.35">
      <c r="A20" s="205">
        <v>16</v>
      </c>
      <c r="B20" s="205"/>
      <c r="C20" s="197" t="s">
        <v>205</v>
      </c>
      <c r="D20" s="197" t="s">
        <v>210</v>
      </c>
      <c r="E20" s="205" t="s">
        <v>60</v>
      </c>
      <c r="F20" s="248"/>
      <c r="G20" s="249">
        <f t="shared" si="0"/>
        <v>0</v>
      </c>
      <c r="H20" s="346"/>
      <c r="I20" s="385"/>
      <c r="J20" s="494"/>
      <c r="K20" s="385"/>
      <c r="L20" s="385"/>
      <c r="M20" s="385"/>
      <c r="N20" s="385">
        <f t="shared" si="1"/>
        <v>0</v>
      </c>
      <c r="O20" s="385"/>
      <c r="P20" s="373"/>
      <c r="Q20" s="346"/>
      <c r="R20" s="250" t="s">
        <v>467</v>
      </c>
      <c r="S20" s="250"/>
    </row>
    <row r="21" spans="1:19" ht="30" customHeight="1" x14ac:dyDescent="0.35">
      <c r="A21" s="205">
        <v>17</v>
      </c>
      <c r="B21" s="205"/>
      <c r="C21" s="197" t="s">
        <v>211</v>
      </c>
      <c r="D21" s="197" t="s">
        <v>212</v>
      </c>
      <c r="E21" s="205" t="s">
        <v>60</v>
      </c>
      <c r="F21" s="248">
        <v>10000</v>
      </c>
      <c r="G21" s="249">
        <f t="shared" si="0"/>
        <v>870000</v>
      </c>
      <c r="H21" s="346"/>
      <c r="I21" s="385"/>
      <c r="J21" s="494">
        <v>561763</v>
      </c>
      <c r="K21" s="385"/>
      <c r="L21" s="385"/>
      <c r="M21" s="385"/>
      <c r="N21" s="385">
        <f t="shared" si="1"/>
        <v>6454.6568699999998</v>
      </c>
      <c r="O21" s="385">
        <f t="shared" si="2"/>
        <v>3545.3431300000002</v>
      </c>
      <c r="P21" s="373" t="s">
        <v>759</v>
      </c>
      <c r="Q21" s="346" t="s">
        <v>760</v>
      </c>
      <c r="R21" s="197" t="s">
        <v>13</v>
      </c>
      <c r="S21" s="250"/>
    </row>
    <row r="22" spans="1:19" ht="30" customHeight="1" x14ac:dyDescent="0.35">
      <c r="A22" s="205">
        <v>18</v>
      </c>
      <c r="B22" s="205"/>
      <c r="C22" s="197" t="s">
        <v>211</v>
      </c>
      <c r="D22" s="200" t="s">
        <v>213</v>
      </c>
      <c r="E22" s="205" t="s">
        <v>60</v>
      </c>
      <c r="F22" s="248">
        <v>10000</v>
      </c>
      <c r="G22" s="249">
        <f t="shared" si="0"/>
        <v>870000</v>
      </c>
      <c r="H22" s="346">
        <v>6630</v>
      </c>
      <c r="I22" s="385"/>
      <c r="J22" s="494"/>
      <c r="K22" s="385"/>
      <c r="L22" s="385"/>
      <c r="M22" s="385"/>
      <c r="N22" s="385">
        <f t="shared" si="1"/>
        <v>1790.1000000000001</v>
      </c>
      <c r="O22" s="385">
        <f t="shared" si="2"/>
        <v>8209.9</v>
      </c>
      <c r="P22" s="373" t="s">
        <v>569</v>
      </c>
      <c r="Q22" s="346" t="s">
        <v>570</v>
      </c>
      <c r="R22" s="197" t="s">
        <v>13</v>
      </c>
      <c r="S22" s="250"/>
    </row>
    <row r="23" spans="1:19" ht="30" customHeight="1" x14ac:dyDescent="0.35">
      <c r="A23" s="205">
        <v>19</v>
      </c>
      <c r="B23" s="205"/>
      <c r="C23" s="197" t="s">
        <v>276</v>
      </c>
      <c r="D23" s="197" t="s">
        <v>373</v>
      </c>
      <c r="E23" s="205"/>
      <c r="F23" s="248">
        <v>48000</v>
      </c>
      <c r="G23" s="249">
        <f t="shared" si="0"/>
        <v>4176000</v>
      </c>
      <c r="H23" s="346"/>
      <c r="K23" s="385">
        <v>49944</v>
      </c>
      <c r="L23" s="385"/>
      <c r="M23" s="385"/>
      <c r="N23" s="385">
        <f t="shared" si="1"/>
        <v>49944</v>
      </c>
      <c r="O23" s="385">
        <f t="shared" si="2"/>
        <v>-1944</v>
      </c>
      <c r="P23" s="373" t="s">
        <v>593</v>
      </c>
      <c r="Q23" s="346" t="s">
        <v>594</v>
      </c>
      <c r="R23" s="197" t="s">
        <v>372</v>
      </c>
      <c r="S23" s="250"/>
    </row>
    <row r="24" spans="1:19" ht="30" customHeight="1" x14ac:dyDescent="0.35">
      <c r="A24" s="205">
        <v>20</v>
      </c>
      <c r="B24" s="205"/>
      <c r="C24" s="197" t="s">
        <v>214</v>
      </c>
      <c r="D24" s="126" t="s">
        <v>307</v>
      </c>
      <c r="E24" s="205" t="s">
        <v>60</v>
      </c>
      <c r="F24" s="248">
        <v>15000</v>
      </c>
      <c r="G24" s="249">
        <f t="shared" si="0"/>
        <v>1305000</v>
      </c>
      <c r="H24" s="346">
        <v>15133</v>
      </c>
      <c r="I24" s="385"/>
      <c r="J24" s="494"/>
      <c r="K24" s="385"/>
      <c r="L24" s="385"/>
      <c r="M24" s="385"/>
      <c r="N24" s="385">
        <f t="shared" si="1"/>
        <v>4085.9100000000003</v>
      </c>
      <c r="O24" s="385">
        <f t="shared" si="2"/>
        <v>10914.09</v>
      </c>
      <c r="P24" s="561" t="s">
        <v>738</v>
      </c>
      <c r="Q24" s="562" t="s">
        <v>739</v>
      </c>
      <c r="R24" s="197" t="s">
        <v>13</v>
      </c>
      <c r="S24" s="250"/>
    </row>
    <row r="25" spans="1:19" ht="30" customHeight="1" x14ac:dyDescent="0.35">
      <c r="A25" s="205">
        <v>21</v>
      </c>
      <c r="B25" s="205"/>
      <c r="C25" s="197" t="s">
        <v>214</v>
      </c>
      <c r="D25" s="126" t="s">
        <v>215</v>
      </c>
      <c r="E25" s="205" t="s">
        <v>60</v>
      </c>
      <c r="F25" s="248">
        <v>5000</v>
      </c>
      <c r="G25" s="249">
        <f t="shared" si="0"/>
        <v>435000</v>
      </c>
      <c r="H25" s="346"/>
      <c r="I25" s="385"/>
      <c r="J25" s="494"/>
      <c r="K25" s="385"/>
      <c r="L25" s="385">
        <f>3562+2222</f>
        <v>5784</v>
      </c>
      <c r="M25" s="385"/>
      <c r="N25" s="385">
        <f t="shared" si="1"/>
        <v>5784</v>
      </c>
      <c r="O25" s="385">
        <f t="shared" si="2"/>
        <v>-784</v>
      </c>
      <c r="P25" s="373"/>
      <c r="Q25" s="346"/>
      <c r="R25" s="197" t="s">
        <v>13</v>
      </c>
      <c r="S25" s="250"/>
    </row>
    <row r="26" spans="1:19" ht="30" customHeight="1" x14ac:dyDescent="0.35">
      <c r="A26" s="205">
        <v>22</v>
      </c>
      <c r="B26" s="205"/>
      <c r="C26" s="197" t="s">
        <v>214</v>
      </c>
      <c r="D26" s="126" t="s">
        <v>272</v>
      </c>
      <c r="E26" s="205" t="s">
        <v>60</v>
      </c>
      <c r="F26" s="248">
        <v>3000</v>
      </c>
      <c r="G26" s="249">
        <f t="shared" si="0"/>
        <v>261000</v>
      </c>
      <c r="H26" s="346">
        <v>2480</v>
      </c>
      <c r="J26" s="503">
        <v>183942.01</v>
      </c>
      <c r="N26" s="385">
        <f t="shared" si="1"/>
        <v>2783.0936949000002</v>
      </c>
      <c r="O26" s="385">
        <f t="shared" si="2"/>
        <v>216.90630509999983</v>
      </c>
      <c r="P26" s="502" t="s">
        <v>701</v>
      </c>
      <c r="Q26" s="422" t="s">
        <v>702</v>
      </c>
      <c r="R26" s="197" t="s">
        <v>358</v>
      </c>
      <c r="S26" s="250"/>
    </row>
    <row r="27" spans="1:19" ht="30" customHeight="1" x14ac:dyDescent="0.35">
      <c r="A27" s="205">
        <v>23</v>
      </c>
      <c r="B27" s="205"/>
      <c r="C27" s="197" t="s">
        <v>216</v>
      </c>
      <c r="D27" s="197" t="s">
        <v>381</v>
      </c>
      <c r="E27" s="205" t="s">
        <v>60</v>
      </c>
      <c r="F27" s="248">
        <v>50000</v>
      </c>
      <c r="G27" s="249">
        <f t="shared" si="0"/>
        <v>4350000</v>
      </c>
      <c r="H27" s="346"/>
      <c r="I27" s="385">
        <v>3942</v>
      </c>
      <c r="J27" s="494"/>
      <c r="K27" s="385"/>
      <c r="L27" s="385"/>
      <c r="M27" s="385"/>
      <c r="N27" s="385">
        <f t="shared" si="1"/>
        <v>3942</v>
      </c>
      <c r="O27" s="385">
        <f t="shared" si="2"/>
        <v>46058</v>
      </c>
      <c r="P27" s="373"/>
      <c r="Q27" s="346"/>
      <c r="R27" s="197" t="s">
        <v>13</v>
      </c>
      <c r="S27" s="250"/>
    </row>
    <row r="28" spans="1:19" ht="30" customHeight="1" x14ac:dyDescent="0.35">
      <c r="A28" s="252">
        <v>24</v>
      </c>
      <c r="B28" s="205"/>
      <c r="C28" s="253" t="s">
        <v>217</v>
      </c>
      <c r="D28" s="253" t="s">
        <v>218</v>
      </c>
      <c r="E28" s="254" t="s">
        <v>60</v>
      </c>
      <c r="F28" s="248"/>
      <c r="G28" s="249">
        <f t="shared" si="0"/>
        <v>0</v>
      </c>
      <c r="H28" s="346"/>
      <c r="I28" s="385"/>
      <c r="J28" s="494"/>
      <c r="K28" s="385"/>
      <c r="L28" s="385"/>
      <c r="M28" s="385"/>
      <c r="N28" s="385">
        <f t="shared" si="1"/>
        <v>0</v>
      </c>
      <c r="O28" s="385"/>
      <c r="P28" s="373"/>
      <c r="Q28" s="346"/>
      <c r="R28" s="197"/>
      <c r="S28" s="250"/>
    </row>
    <row r="29" spans="1:19" ht="212.25" customHeight="1" x14ac:dyDescent="0.35">
      <c r="A29" s="205">
        <v>25</v>
      </c>
      <c r="B29" s="205"/>
      <c r="C29" s="197" t="s">
        <v>219</v>
      </c>
      <c r="D29" s="197" t="s">
        <v>401</v>
      </c>
      <c r="E29" s="205" t="s">
        <v>60</v>
      </c>
      <c r="F29" s="248">
        <v>75000</v>
      </c>
      <c r="G29" s="249">
        <f t="shared" si="0"/>
        <v>6525000</v>
      </c>
      <c r="H29" s="346">
        <f>89777+30982+4112+1350</f>
        <v>126221</v>
      </c>
      <c r="I29" s="385">
        <f>1100</f>
        <v>1100</v>
      </c>
      <c r="J29" s="494">
        <f>12300+6444</f>
        <v>18744</v>
      </c>
      <c r="K29" s="385">
        <v>3825</v>
      </c>
      <c r="L29" s="385"/>
      <c r="M29" s="385"/>
      <c r="N29" s="385">
        <f t="shared" si="1"/>
        <v>39220.038560000008</v>
      </c>
      <c r="O29" s="385">
        <f t="shared" si="2"/>
        <v>35779.961439999992</v>
      </c>
      <c r="P29" s="452" t="s">
        <v>851</v>
      </c>
      <c r="Q29" s="422" t="s">
        <v>852</v>
      </c>
      <c r="R29" s="197" t="s">
        <v>13</v>
      </c>
      <c r="S29" s="250"/>
    </row>
    <row r="30" spans="1:19" ht="127.5" customHeight="1" x14ac:dyDescent="0.35">
      <c r="A30" s="205">
        <v>26</v>
      </c>
      <c r="B30" s="205"/>
      <c r="C30" s="197" t="s">
        <v>219</v>
      </c>
      <c r="D30" s="197" t="s">
        <v>220</v>
      </c>
      <c r="E30" s="205" t="s">
        <v>60</v>
      </c>
      <c r="F30" s="248">
        <v>50000</v>
      </c>
      <c r="G30" s="249">
        <f t="shared" si="0"/>
        <v>4350000</v>
      </c>
      <c r="H30" s="346">
        <f>26716+48571+12580+145.8+2943+4111+2565</f>
        <v>97631.8</v>
      </c>
      <c r="I30" s="385"/>
      <c r="J30" s="494">
        <v>36100</v>
      </c>
      <c r="K30" s="385"/>
      <c r="L30" s="385"/>
      <c r="M30" s="385"/>
      <c r="N30" s="385">
        <f t="shared" si="1"/>
        <v>26775.375000000004</v>
      </c>
      <c r="O30" s="385">
        <f t="shared" si="2"/>
        <v>23224.624999999996</v>
      </c>
      <c r="P30" s="452" t="s">
        <v>853</v>
      </c>
      <c r="Q30" s="422" t="s">
        <v>854</v>
      </c>
      <c r="R30" s="197" t="s">
        <v>13</v>
      </c>
      <c r="S30" s="250"/>
    </row>
    <row r="31" spans="1:19" ht="30" customHeight="1" x14ac:dyDescent="0.35">
      <c r="A31" s="205">
        <v>27</v>
      </c>
      <c r="B31" s="205"/>
      <c r="C31" s="197" t="s">
        <v>219</v>
      </c>
      <c r="D31" s="197" t="s">
        <v>221</v>
      </c>
      <c r="E31" s="205" t="s">
        <v>60</v>
      </c>
      <c r="F31" s="248"/>
      <c r="G31" s="249">
        <f t="shared" si="0"/>
        <v>0</v>
      </c>
      <c r="H31" s="346"/>
      <c r="I31" s="385"/>
      <c r="J31" s="494"/>
      <c r="K31" s="385"/>
      <c r="L31" s="385"/>
      <c r="M31" s="385"/>
      <c r="N31" s="385">
        <f t="shared" si="1"/>
        <v>0</v>
      </c>
      <c r="O31" s="385">
        <f t="shared" si="2"/>
        <v>0</v>
      </c>
      <c r="P31" s="373" t="s">
        <v>583</v>
      </c>
      <c r="Q31" s="346" t="s">
        <v>584</v>
      </c>
      <c r="R31" s="250" t="s">
        <v>465</v>
      </c>
      <c r="S31" s="250"/>
    </row>
    <row r="32" spans="1:19" ht="30" customHeight="1" x14ac:dyDescent="0.35">
      <c r="A32" s="205">
        <v>28</v>
      </c>
      <c r="B32" s="205"/>
      <c r="C32" s="197" t="s">
        <v>219</v>
      </c>
      <c r="D32" s="197" t="s">
        <v>222</v>
      </c>
      <c r="E32" s="205" t="s">
        <v>60</v>
      </c>
      <c r="F32" s="248"/>
      <c r="G32" s="249">
        <f t="shared" si="0"/>
        <v>0</v>
      </c>
      <c r="H32" s="346">
        <v>4016</v>
      </c>
      <c r="I32" s="385"/>
      <c r="J32" s="494"/>
      <c r="K32" s="385"/>
      <c r="L32" s="385"/>
      <c r="M32" s="385"/>
      <c r="N32" s="385">
        <f t="shared" si="1"/>
        <v>1084.3200000000002</v>
      </c>
      <c r="O32" s="385"/>
      <c r="P32" s="373"/>
      <c r="Q32" s="346"/>
      <c r="R32" s="250" t="s">
        <v>465</v>
      </c>
      <c r="S32" s="250"/>
    </row>
    <row r="33" spans="1:19" ht="30" customHeight="1" x14ac:dyDescent="0.35">
      <c r="A33" s="205">
        <v>29</v>
      </c>
      <c r="B33" s="205"/>
      <c r="C33" s="197" t="s">
        <v>219</v>
      </c>
      <c r="D33" s="197" t="s">
        <v>223</v>
      </c>
      <c r="E33" s="205" t="s">
        <v>60</v>
      </c>
      <c r="F33" s="248"/>
      <c r="G33" s="249">
        <f t="shared" si="0"/>
        <v>0</v>
      </c>
      <c r="H33" s="346"/>
      <c r="I33" s="385"/>
      <c r="J33" s="494"/>
      <c r="K33" s="385"/>
      <c r="L33" s="385"/>
      <c r="M33" s="385"/>
      <c r="N33" s="385">
        <f t="shared" si="1"/>
        <v>0</v>
      </c>
      <c r="O33" s="385"/>
      <c r="P33" s="373"/>
      <c r="Q33" s="346"/>
      <c r="R33" s="250" t="s">
        <v>466</v>
      </c>
      <c r="S33" s="250"/>
    </row>
    <row r="34" spans="1:19" ht="30" customHeight="1" x14ac:dyDescent="0.35">
      <c r="A34" s="205">
        <v>30</v>
      </c>
      <c r="B34" s="205">
        <v>816</v>
      </c>
      <c r="C34" s="197" t="s">
        <v>219</v>
      </c>
      <c r="D34" s="197" t="s">
        <v>224</v>
      </c>
      <c r="E34" s="205" t="s">
        <v>60</v>
      </c>
      <c r="F34" s="248"/>
      <c r="G34" s="249">
        <f t="shared" si="0"/>
        <v>0</v>
      </c>
      <c r="H34" s="346"/>
      <c r="I34" s="385"/>
      <c r="J34" s="494"/>
      <c r="K34" s="385"/>
      <c r="L34" s="385"/>
      <c r="M34" s="385"/>
      <c r="N34" s="385">
        <f t="shared" si="1"/>
        <v>0</v>
      </c>
      <c r="O34" s="385"/>
      <c r="P34" s="373"/>
      <c r="Q34" s="346"/>
      <c r="R34" s="250" t="s">
        <v>466</v>
      </c>
      <c r="S34" s="250"/>
    </row>
    <row r="35" spans="1:19" ht="30" customHeight="1" x14ac:dyDescent="0.35">
      <c r="A35" s="205">
        <v>31</v>
      </c>
      <c r="B35" s="205">
        <v>816</v>
      </c>
      <c r="C35" s="197" t="s">
        <v>219</v>
      </c>
      <c r="D35" s="197" t="s">
        <v>225</v>
      </c>
      <c r="E35" s="205" t="s">
        <v>60</v>
      </c>
      <c r="F35" s="248"/>
      <c r="G35" s="249">
        <f t="shared" si="0"/>
        <v>0</v>
      </c>
      <c r="H35" s="346"/>
      <c r="I35" s="385"/>
      <c r="J35" s="494"/>
      <c r="K35" s="385"/>
      <c r="L35" s="385"/>
      <c r="M35" s="385"/>
      <c r="N35" s="385">
        <f t="shared" si="1"/>
        <v>0</v>
      </c>
      <c r="O35" s="385"/>
      <c r="P35" s="373"/>
      <c r="Q35" s="346"/>
      <c r="R35" s="250" t="s">
        <v>466</v>
      </c>
      <c r="S35" s="250"/>
    </row>
    <row r="36" spans="1:19" ht="64.5" customHeight="1" x14ac:dyDescent="0.35">
      <c r="A36" s="205">
        <v>32</v>
      </c>
      <c r="B36" s="205">
        <v>50106</v>
      </c>
      <c r="C36" s="197" t="s">
        <v>219</v>
      </c>
      <c r="D36" s="197" t="s">
        <v>505</v>
      </c>
      <c r="E36" s="205" t="s">
        <v>60</v>
      </c>
      <c r="F36" s="255">
        <v>50000</v>
      </c>
      <c r="G36" s="249">
        <f t="shared" si="0"/>
        <v>4350000</v>
      </c>
      <c r="H36" s="346">
        <f>1635+1316+31589+120+530</f>
        <v>35190</v>
      </c>
      <c r="I36" s="385">
        <f>9000+5548+1529</f>
        <v>16077</v>
      </c>
      <c r="J36" s="494"/>
      <c r="K36" s="385"/>
      <c r="L36" s="385"/>
      <c r="M36" s="385"/>
      <c r="N36" s="385">
        <f t="shared" si="1"/>
        <v>25578.300000000003</v>
      </c>
      <c r="O36" s="385">
        <f t="shared" si="2"/>
        <v>24421.699999999997</v>
      </c>
      <c r="P36" s="452" t="s">
        <v>829</v>
      </c>
      <c r="Q36" s="422" t="s">
        <v>830</v>
      </c>
      <c r="R36" s="197" t="s">
        <v>13</v>
      </c>
      <c r="S36" s="250"/>
    </row>
    <row r="37" spans="1:19" ht="30" customHeight="1" x14ac:dyDescent="0.35">
      <c r="A37" s="205">
        <v>33</v>
      </c>
      <c r="B37" s="205"/>
      <c r="C37" s="197" t="s">
        <v>219</v>
      </c>
      <c r="D37" s="197" t="s">
        <v>506</v>
      </c>
      <c r="E37" s="205" t="s">
        <v>60</v>
      </c>
      <c r="F37" s="248"/>
      <c r="G37" s="249">
        <f t="shared" si="0"/>
        <v>0</v>
      </c>
      <c r="H37" s="346"/>
      <c r="I37" s="385"/>
      <c r="J37" s="494"/>
      <c r="K37" s="385"/>
      <c r="L37" s="385"/>
      <c r="M37" s="385"/>
      <c r="N37" s="385">
        <f t="shared" si="1"/>
        <v>0</v>
      </c>
      <c r="O37" s="385">
        <f t="shared" si="2"/>
        <v>0</v>
      </c>
      <c r="P37" s="452" t="s">
        <v>743</v>
      </c>
      <c r="Q37" s="422" t="s">
        <v>744</v>
      </c>
      <c r="R37" s="250" t="s">
        <v>504</v>
      </c>
      <c r="S37" s="250"/>
    </row>
    <row r="38" spans="1:19" ht="30" customHeight="1" x14ac:dyDescent="0.35">
      <c r="A38" s="205">
        <v>34</v>
      </c>
      <c r="B38" s="205"/>
      <c r="C38" s="197" t="s">
        <v>219</v>
      </c>
      <c r="D38" s="197" t="s">
        <v>226</v>
      </c>
      <c r="E38" s="205" t="s">
        <v>60</v>
      </c>
      <c r="F38" s="256"/>
      <c r="G38" s="249">
        <f t="shared" si="0"/>
        <v>0</v>
      </c>
      <c r="H38" s="346"/>
      <c r="I38" s="385"/>
      <c r="J38" s="494"/>
      <c r="K38" s="385"/>
      <c r="L38" s="385"/>
      <c r="M38" s="385"/>
      <c r="N38" s="385">
        <f t="shared" si="1"/>
        <v>0</v>
      </c>
      <c r="O38" s="385">
        <f t="shared" si="2"/>
        <v>0</v>
      </c>
      <c r="P38" s="346" t="s">
        <v>558</v>
      </c>
      <c r="Q38" s="346" t="s">
        <v>559</v>
      </c>
      <c r="R38" s="250" t="s">
        <v>504</v>
      </c>
      <c r="S38" s="250"/>
    </row>
    <row r="39" spans="1:19" ht="64" customHeight="1" x14ac:dyDescent="0.35">
      <c r="A39" s="205">
        <v>35</v>
      </c>
      <c r="B39" s="205"/>
      <c r="C39" s="197" t="s">
        <v>219</v>
      </c>
      <c r="D39" s="197" t="s">
        <v>227</v>
      </c>
      <c r="E39" s="205" t="s">
        <v>60</v>
      </c>
      <c r="F39" s="248"/>
      <c r="G39" s="249">
        <f t="shared" si="0"/>
        <v>0</v>
      </c>
      <c r="H39" s="346"/>
      <c r="I39" s="385"/>
      <c r="J39" s="494"/>
      <c r="K39" s="385"/>
      <c r="L39" s="385"/>
      <c r="M39" s="385"/>
      <c r="N39" s="385">
        <f t="shared" si="1"/>
        <v>0</v>
      </c>
      <c r="O39" s="385">
        <f t="shared" si="2"/>
        <v>0</v>
      </c>
      <c r="P39" s="373" t="s">
        <v>567</v>
      </c>
      <c r="Q39" s="346" t="s">
        <v>568</v>
      </c>
      <c r="R39" s="250" t="s">
        <v>504</v>
      </c>
      <c r="S39" s="250"/>
    </row>
    <row r="40" spans="1:19" ht="55.5" customHeight="1" x14ac:dyDescent="0.35">
      <c r="A40" s="205">
        <v>36</v>
      </c>
      <c r="B40" s="205"/>
      <c r="C40" s="197" t="s">
        <v>219</v>
      </c>
      <c r="D40" s="197" t="s">
        <v>228</v>
      </c>
      <c r="E40" s="205" t="s">
        <v>60</v>
      </c>
      <c r="F40" s="257">
        <v>25000</v>
      </c>
      <c r="G40" s="249">
        <f t="shared" si="0"/>
        <v>2175000</v>
      </c>
      <c r="H40" s="346"/>
      <c r="I40" s="385"/>
      <c r="J40" s="494">
        <f>1271136+165482</f>
        <v>1436618</v>
      </c>
      <c r="K40" s="385">
        <v>16399.7</v>
      </c>
      <c r="L40" s="385"/>
      <c r="M40" s="385"/>
      <c r="N40" s="385">
        <f t="shared" si="1"/>
        <v>32906.440820000003</v>
      </c>
      <c r="O40" s="385">
        <f t="shared" si="2"/>
        <v>-7906.4408200000034</v>
      </c>
      <c r="P40" s="452" t="s">
        <v>691</v>
      </c>
      <c r="Q40" s="422" t="s">
        <v>690</v>
      </c>
      <c r="R40" s="197" t="s">
        <v>13</v>
      </c>
      <c r="S40" s="250"/>
    </row>
    <row r="41" spans="1:19" ht="30" customHeight="1" x14ac:dyDescent="0.35">
      <c r="A41" s="205">
        <v>37</v>
      </c>
      <c r="B41" s="205"/>
      <c r="C41" s="197" t="s">
        <v>126</v>
      </c>
      <c r="D41" s="197" t="s">
        <v>229</v>
      </c>
      <c r="E41" s="205" t="s">
        <v>120</v>
      </c>
      <c r="F41" s="256">
        <v>50000</v>
      </c>
      <c r="G41" s="249">
        <f t="shared" si="0"/>
        <v>4350000</v>
      </c>
      <c r="H41" s="346">
        <v>2430</v>
      </c>
      <c r="I41" s="385"/>
      <c r="J41" s="494"/>
      <c r="K41" s="385"/>
      <c r="L41" s="385"/>
      <c r="M41" s="385"/>
      <c r="N41" s="385">
        <f t="shared" si="1"/>
        <v>656.1</v>
      </c>
      <c r="O41" s="385">
        <f t="shared" si="2"/>
        <v>49343.9</v>
      </c>
      <c r="P41" s="452" t="s">
        <v>745</v>
      </c>
      <c r="Q41" s="422" t="s">
        <v>746</v>
      </c>
      <c r="R41" s="197" t="s">
        <v>13</v>
      </c>
      <c r="S41" s="250"/>
    </row>
    <row r="42" spans="1:19" ht="30" customHeight="1" x14ac:dyDescent="0.35">
      <c r="A42" s="205">
        <v>38</v>
      </c>
      <c r="B42" s="205"/>
      <c r="C42" s="197" t="s">
        <v>126</v>
      </c>
      <c r="D42" s="197" t="s">
        <v>230</v>
      </c>
      <c r="E42" s="205" t="s">
        <v>120</v>
      </c>
      <c r="F42" s="258">
        <v>15000</v>
      </c>
      <c r="G42" s="249">
        <f t="shared" si="0"/>
        <v>1305000</v>
      </c>
      <c r="H42" s="346"/>
      <c r="I42" s="385"/>
      <c r="J42" s="494"/>
      <c r="K42" s="385"/>
      <c r="L42" s="385"/>
      <c r="M42" s="385"/>
      <c r="N42" s="385">
        <f t="shared" si="1"/>
        <v>0</v>
      </c>
      <c r="O42" s="385">
        <f t="shared" si="2"/>
        <v>15000</v>
      </c>
      <c r="P42" s="373"/>
      <c r="Q42" s="346"/>
      <c r="R42" s="197" t="s">
        <v>13</v>
      </c>
      <c r="S42" s="250"/>
    </row>
    <row r="43" spans="1:19" ht="78.75" customHeight="1" x14ac:dyDescent="0.35">
      <c r="A43" s="205">
        <v>39</v>
      </c>
      <c r="B43" s="205"/>
      <c r="C43" s="197" t="s">
        <v>231</v>
      </c>
      <c r="D43" s="126" t="s">
        <v>232</v>
      </c>
      <c r="E43" s="205" t="s">
        <v>120</v>
      </c>
      <c r="F43" s="259">
        <v>50000</v>
      </c>
      <c r="G43" s="249">
        <f t="shared" si="0"/>
        <v>4350000</v>
      </c>
      <c r="H43" s="346">
        <v>5028</v>
      </c>
      <c r="I43" s="385">
        <f>4022+25753</f>
        <v>29775</v>
      </c>
      <c r="J43" s="494"/>
      <c r="K43" s="385"/>
      <c r="L43" s="385"/>
      <c r="M43" s="385"/>
      <c r="N43" s="385">
        <f t="shared" si="1"/>
        <v>31132.560000000001</v>
      </c>
      <c r="O43" s="385">
        <f t="shared" si="2"/>
        <v>18867.439999999999</v>
      </c>
      <c r="P43" s="452" t="s">
        <v>815</v>
      </c>
      <c r="Q43" s="422" t="s">
        <v>816</v>
      </c>
      <c r="R43" s="197" t="s">
        <v>13</v>
      </c>
      <c r="S43" s="250"/>
    </row>
    <row r="44" spans="1:19" ht="30" customHeight="1" x14ac:dyDescent="0.35">
      <c r="A44" s="205">
        <v>40</v>
      </c>
      <c r="B44" s="205">
        <v>515</v>
      </c>
      <c r="C44" s="197" t="s">
        <v>391</v>
      </c>
      <c r="D44" s="219" t="s">
        <v>392</v>
      </c>
      <c r="E44" s="205" t="s">
        <v>233</v>
      </c>
      <c r="F44" s="257">
        <v>150000</v>
      </c>
      <c r="G44" s="249">
        <f t="shared" si="0"/>
        <v>13050000</v>
      </c>
      <c r="H44" s="346">
        <f>575+9071+14000</f>
        <v>23646</v>
      </c>
      <c r="I44" s="385"/>
      <c r="J44" s="494"/>
      <c r="K44" s="385"/>
      <c r="L44" s="385">
        <v>22740</v>
      </c>
      <c r="M44" s="385"/>
      <c r="N44" s="385">
        <f t="shared" si="1"/>
        <v>29124.42</v>
      </c>
      <c r="O44" s="385">
        <f t="shared" si="2"/>
        <v>120875.58</v>
      </c>
      <c r="P44" s="373" t="s">
        <v>872</v>
      </c>
      <c r="Q44" s="346" t="s">
        <v>873</v>
      </c>
      <c r="R44" s="197" t="s">
        <v>13</v>
      </c>
      <c r="S44" s="250"/>
    </row>
    <row r="45" spans="1:19" ht="30" customHeight="1" x14ac:dyDescent="0.35">
      <c r="A45" s="205">
        <v>41</v>
      </c>
      <c r="B45" s="205"/>
      <c r="C45" s="197" t="s">
        <v>234</v>
      </c>
      <c r="D45" s="219" t="s">
        <v>380</v>
      </c>
      <c r="E45" s="205" t="s">
        <v>60</v>
      </c>
      <c r="F45" s="256"/>
      <c r="G45" s="249">
        <f t="shared" si="0"/>
        <v>0</v>
      </c>
      <c r="H45" s="346"/>
      <c r="I45" s="385"/>
      <c r="J45" s="494"/>
      <c r="K45" s="385"/>
      <c r="L45" s="385"/>
      <c r="M45" s="385"/>
      <c r="N45" s="385">
        <f t="shared" si="1"/>
        <v>0</v>
      </c>
      <c r="O45" s="385">
        <f t="shared" si="2"/>
        <v>0</v>
      </c>
      <c r="P45" s="452" t="s">
        <v>825</v>
      </c>
      <c r="Q45" s="422" t="s">
        <v>826</v>
      </c>
      <c r="R45" s="250" t="s">
        <v>485</v>
      </c>
      <c r="S45" s="250"/>
    </row>
    <row r="46" spans="1:19" ht="30" customHeight="1" x14ac:dyDescent="0.35">
      <c r="A46" s="205">
        <v>42</v>
      </c>
      <c r="B46" s="205"/>
      <c r="C46" s="197" t="s">
        <v>235</v>
      </c>
      <c r="D46" s="197" t="s">
        <v>236</v>
      </c>
      <c r="E46" s="205" t="s">
        <v>60</v>
      </c>
      <c r="F46" s="248"/>
      <c r="G46" s="249">
        <f t="shared" si="0"/>
        <v>0</v>
      </c>
      <c r="H46" s="346"/>
      <c r="I46" s="385"/>
      <c r="J46" s="494"/>
      <c r="K46" s="385"/>
      <c r="L46" s="385"/>
      <c r="M46" s="385"/>
      <c r="N46" s="385">
        <f t="shared" si="1"/>
        <v>0</v>
      </c>
      <c r="O46" s="385"/>
      <c r="P46" s="373"/>
      <c r="Q46" s="346"/>
      <c r="R46" s="250" t="s">
        <v>485</v>
      </c>
      <c r="S46" s="250"/>
    </row>
    <row r="47" spans="1:19" ht="30" customHeight="1" x14ac:dyDescent="0.35">
      <c r="A47" s="205">
        <v>43</v>
      </c>
      <c r="B47" s="205"/>
      <c r="C47" s="197" t="s">
        <v>179</v>
      </c>
      <c r="D47" s="197" t="s">
        <v>237</v>
      </c>
      <c r="E47" s="205" t="s">
        <v>60</v>
      </c>
      <c r="F47" s="256"/>
      <c r="G47" s="249">
        <f t="shared" si="0"/>
        <v>0</v>
      </c>
      <c r="H47" s="346"/>
      <c r="I47" s="385"/>
      <c r="J47" s="494"/>
      <c r="K47" s="385"/>
      <c r="L47" s="385"/>
      <c r="M47" s="385"/>
      <c r="N47" s="385">
        <f t="shared" si="1"/>
        <v>0</v>
      </c>
      <c r="O47" s="385"/>
      <c r="P47" s="373"/>
      <c r="Q47" s="346"/>
      <c r="R47" s="250" t="s">
        <v>485</v>
      </c>
      <c r="S47" s="250"/>
    </row>
    <row r="48" spans="1:19" ht="226.5" customHeight="1" x14ac:dyDescent="0.35">
      <c r="A48" s="205">
        <v>44</v>
      </c>
      <c r="B48" s="205"/>
      <c r="C48" s="197" t="s">
        <v>179</v>
      </c>
      <c r="D48" s="197" t="s">
        <v>238</v>
      </c>
      <c r="E48" s="205" t="s">
        <v>72</v>
      </c>
      <c r="F48" s="256">
        <v>100000</v>
      </c>
      <c r="G48" s="249">
        <f t="shared" si="0"/>
        <v>8700000</v>
      </c>
      <c r="H48" s="346">
        <f>24018+400+5350+960+338+9918+2985+13912+795+92+28536+570</f>
        <v>87874</v>
      </c>
      <c r="I48" s="385"/>
      <c r="J48" s="494"/>
      <c r="K48" s="385"/>
      <c r="L48" s="385"/>
      <c r="M48" s="385"/>
      <c r="N48" s="385">
        <f t="shared" si="1"/>
        <v>23725.980000000003</v>
      </c>
      <c r="O48" s="385">
        <f t="shared" si="2"/>
        <v>76274.01999999999</v>
      </c>
      <c r="P48" s="452" t="s">
        <v>891</v>
      </c>
      <c r="Q48" s="422" t="s">
        <v>892</v>
      </c>
      <c r="R48" s="197" t="s">
        <v>13</v>
      </c>
      <c r="S48" s="250"/>
    </row>
    <row r="49" spans="1:20" ht="30" customHeight="1" x14ac:dyDescent="0.35">
      <c r="A49" s="205">
        <v>45</v>
      </c>
      <c r="B49" s="205"/>
      <c r="C49" s="197" t="s">
        <v>179</v>
      </c>
      <c r="D49" s="197" t="s">
        <v>239</v>
      </c>
      <c r="E49" s="205" t="s">
        <v>72</v>
      </c>
      <c r="F49" s="248">
        <v>15000</v>
      </c>
      <c r="G49" s="249">
        <f t="shared" si="0"/>
        <v>1305000</v>
      </c>
      <c r="H49" s="346">
        <v>6300</v>
      </c>
      <c r="I49" s="385"/>
      <c r="J49" s="494">
        <v>265000</v>
      </c>
      <c r="K49" s="385"/>
      <c r="L49" s="385"/>
      <c r="M49" s="385"/>
      <c r="N49" s="385">
        <f t="shared" si="1"/>
        <v>4745.8500000000004</v>
      </c>
      <c r="O49" s="385">
        <f t="shared" si="2"/>
        <v>10254.15</v>
      </c>
      <c r="P49" s="452" t="s">
        <v>805</v>
      </c>
      <c r="Q49" s="422" t="s">
        <v>806</v>
      </c>
      <c r="R49" s="197" t="s">
        <v>13</v>
      </c>
      <c r="S49" s="250"/>
    </row>
    <row r="50" spans="1:20" ht="30" customHeight="1" x14ac:dyDescent="0.35">
      <c r="A50" s="205">
        <v>46</v>
      </c>
      <c r="B50" s="205"/>
      <c r="C50" s="197" t="s">
        <v>179</v>
      </c>
      <c r="D50" s="197" t="s">
        <v>331</v>
      </c>
      <c r="E50" s="205"/>
      <c r="F50" s="248">
        <v>500</v>
      </c>
      <c r="G50" s="249">
        <f t="shared" si="0"/>
        <v>43500</v>
      </c>
      <c r="H50" s="347"/>
      <c r="I50" s="386"/>
      <c r="J50" s="496"/>
      <c r="K50" s="386"/>
      <c r="L50" s="386"/>
      <c r="M50" s="386"/>
      <c r="N50" s="385">
        <f t="shared" si="1"/>
        <v>0</v>
      </c>
      <c r="O50" s="385">
        <f t="shared" si="2"/>
        <v>500</v>
      </c>
      <c r="P50" s="374"/>
      <c r="Q50" s="347"/>
      <c r="R50" s="260"/>
      <c r="S50" s="250"/>
    </row>
    <row r="51" spans="1:20" ht="104.25" customHeight="1" x14ac:dyDescent="0.35">
      <c r="A51" s="205">
        <v>47</v>
      </c>
      <c r="B51" s="205"/>
      <c r="C51" s="197" t="s">
        <v>179</v>
      </c>
      <c r="D51" s="197" t="s">
        <v>240</v>
      </c>
      <c r="E51" s="205" t="s">
        <v>233</v>
      </c>
      <c r="F51" s="250">
        <v>100000</v>
      </c>
      <c r="G51" s="249">
        <f t="shared" si="0"/>
        <v>8700000</v>
      </c>
      <c r="H51" s="346">
        <f>4000+9043+31777+1687.4</f>
        <v>46507.4</v>
      </c>
      <c r="I51" s="385"/>
      <c r="J51" s="494"/>
      <c r="K51" s="385"/>
      <c r="L51" s="385">
        <v>336464</v>
      </c>
      <c r="M51" s="385"/>
      <c r="N51" s="385">
        <f t="shared" si="1"/>
        <v>349020.99800000002</v>
      </c>
      <c r="O51" s="385">
        <f t="shared" si="2"/>
        <v>-249020.99800000002</v>
      </c>
      <c r="P51" s="452" t="s">
        <v>935</v>
      </c>
      <c r="Q51" s="422" t="s">
        <v>936</v>
      </c>
      <c r="R51" s="197" t="s">
        <v>487</v>
      </c>
      <c r="S51" s="250"/>
    </row>
    <row r="52" spans="1:20" ht="30" customHeight="1" x14ac:dyDescent="0.35">
      <c r="A52" s="205">
        <v>48</v>
      </c>
      <c r="B52" s="205"/>
      <c r="C52" s="197" t="s">
        <v>179</v>
      </c>
      <c r="D52" s="197" t="s">
        <v>241</v>
      </c>
      <c r="E52" s="205" t="s">
        <v>233</v>
      </c>
      <c r="F52" s="250"/>
      <c r="G52" s="249">
        <f t="shared" si="0"/>
        <v>0</v>
      </c>
      <c r="H52" s="346"/>
      <c r="I52" s="385"/>
      <c r="J52" s="494"/>
      <c r="K52" s="385"/>
      <c r="L52" s="385"/>
      <c r="M52" s="385"/>
      <c r="N52" s="385">
        <f t="shared" si="1"/>
        <v>0</v>
      </c>
      <c r="O52" s="385"/>
      <c r="P52" s="373" t="s">
        <v>823</v>
      </c>
      <c r="Q52" s="346" t="s">
        <v>824</v>
      </c>
      <c r="R52" s="250" t="s">
        <v>473</v>
      </c>
      <c r="S52" s="250"/>
    </row>
    <row r="53" spans="1:20" ht="30" customHeight="1" x14ac:dyDescent="0.35">
      <c r="A53" s="205">
        <v>49</v>
      </c>
      <c r="B53" s="205"/>
      <c r="C53" s="197" t="s">
        <v>179</v>
      </c>
      <c r="D53" s="197" t="s">
        <v>386</v>
      </c>
      <c r="E53" s="205" t="s">
        <v>134</v>
      </c>
      <c r="F53" s="256">
        <v>10000</v>
      </c>
      <c r="G53" s="249">
        <f t="shared" si="0"/>
        <v>870000</v>
      </c>
      <c r="H53" s="346">
        <v>28530</v>
      </c>
      <c r="I53" s="385"/>
      <c r="J53" s="494"/>
      <c r="K53" s="385"/>
      <c r="L53" s="385"/>
      <c r="M53" s="385"/>
      <c r="N53" s="385">
        <f t="shared" si="1"/>
        <v>7703.1</v>
      </c>
      <c r="O53" s="385">
        <f t="shared" si="2"/>
        <v>2296.8999999999996</v>
      </c>
      <c r="P53" s="373"/>
      <c r="Q53" s="346"/>
      <c r="R53" s="197" t="s">
        <v>13</v>
      </c>
      <c r="S53" s="250"/>
    </row>
    <row r="54" spans="1:20" ht="60.75" customHeight="1" x14ac:dyDescent="0.35">
      <c r="A54" s="205">
        <v>50</v>
      </c>
      <c r="B54" s="205"/>
      <c r="C54" s="197" t="s">
        <v>179</v>
      </c>
      <c r="D54" s="197" t="s">
        <v>242</v>
      </c>
      <c r="E54" s="205" t="s">
        <v>92</v>
      </c>
      <c r="F54" s="256">
        <v>100000</v>
      </c>
      <c r="G54" s="249">
        <f t="shared" si="0"/>
        <v>8700000</v>
      </c>
      <c r="H54" s="346">
        <f>9458.77+4125</f>
        <v>13583.77</v>
      </c>
      <c r="I54" s="385"/>
      <c r="J54" s="494"/>
      <c r="K54" s="385"/>
      <c r="L54" s="385">
        <v>151500</v>
      </c>
      <c r="M54" s="385"/>
      <c r="N54" s="385">
        <f t="shared" si="1"/>
        <v>155167.61790000001</v>
      </c>
      <c r="O54" s="385">
        <f t="shared" si="2"/>
        <v>-55167.617900000012</v>
      </c>
      <c r="P54" s="594" t="s">
        <v>821</v>
      </c>
      <c r="Q54" s="422" t="s">
        <v>822</v>
      </c>
      <c r="R54" s="197" t="s">
        <v>488</v>
      </c>
      <c r="S54" s="250"/>
    </row>
    <row r="55" spans="1:20" ht="201" customHeight="1" x14ac:dyDescent="0.35">
      <c r="A55" s="205">
        <v>51</v>
      </c>
      <c r="B55" s="205"/>
      <c r="C55" s="197" t="s">
        <v>179</v>
      </c>
      <c r="D55" s="197" t="s">
        <v>334</v>
      </c>
      <c r="E55" s="205"/>
      <c r="F55" s="256">
        <v>20000</v>
      </c>
      <c r="G55" s="249">
        <f t="shared" si="0"/>
        <v>1740000</v>
      </c>
      <c r="H55" s="346">
        <f>25160+250.8+41.8+4925+1304+24304+10231+660+14101+4730+450</f>
        <v>86157.6</v>
      </c>
      <c r="I55" s="385"/>
      <c r="J55" s="494">
        <v>36480</v>
      </c>
      <c r="K55" s="385"/>
      <c r="L55" s="385"/>
      <c r="M55" s="385"/>
      <c r="N55" s="385">
        <f t="shared" si="1"/>
        <v>23681.707200000004</v>
      </c>
      <c r="O55" s="385">
        <f t="shared" si="2"/>
        <v>-3681.7072000000044</v>
      </c>
      <c r="P55" s="452" t="s">
        <v>755</v>
      </c>
      <c r="Q55" s="422" t="s">
        <v>756</v>
      </c>
      <c r="R55" s="197" t="s">
        <v>13</v>
      </c>
      <c r="S55" s="250">
        <v>88</v>
      </c>
    </row>
    <row r="56" spans="1:20" ht="93.75" customHeight="1" x14ac:dyDescent="0.35">
      <c r="A56" s="205">
        <v>52</v>
      </c>
      <c r="B56" s="205">
        <v>372056001</v>
      </c>
      <c r="C56" s="197" t="s">
        <v>109</v>
      </c>
      <c r="D56" s="219" t="s">
        <v>110</v>
      </c>
      <c r="E56" s="205" t="s">
        <v>60</v>
      </c>
      <c r="F56" s="261">
        <v>50000</v>
      </c>
      <c r="G56" s="249">
        <f t="shared" si="0"/>
        <v>4350000</v>
      </c>
      <c r="H56" s="346">
        <f>21998+21647</f>
        <v>43645</v>
      </c>
      <c r="I56" s="385">
        <f>14000+27555</f>
        <v>41555</v>
      </c>
      <c r="J56" s="494"/>
      <c r="K56" s="385"/>
      <c r="L56" s="385"/>
      <c r="M56" s="385"/>
      <c r="N56" s="385">
        <f t="shared" si="1"/>
        <v>53339.15</v>
      </c>
      <c r="O56" s="385">
        <f t="shared" si="2"/>
        <v>-3339.1500000000015</v>
      </c>
      <c r="P56" s="452" t="s">
        <v>875</v>
      </c>
      <c r="Q56" s="422" t="s">
        <v>876</v>
      </c>
      <c r="R56" s="197" t="s">
        <v>13</v>
      </c>
      <c r="S56" s="250"/>
      <c r="T56" s="24"/>
    </row>
    <row r="57" spans="1:20" ht="181.5" customHeight="1" x14ac:dyDescent="0.35">
      <c r="A57" s="205">
        <v>53</v>
      </c>
      <c r="B57" s="205"/>
      <c r="C57" s="197" t="s">
        <v>179</v>
      </c>
      <c r="D57" s="197" t="s">
        <v>376</v>
      </c>
      <c r="E57" s="205"/>
      <c r="F57" s="261">
        <v>5000</v>
      </c>
      <c r="G57" s="249">
        <f t="shared" si="0"/>
        <v>435000</v>
      </c>
      <c r="H57" s="346">
        <f>28530+9946</f>
        <v>38476</v>
      </c>
      <c r="I57" s="385"/>
      <c r="J57" s="494"/>
      <c r="K57" s="385"/>
      <c r="L57" s="385"/>
      <c r="M57" s="385"/>
      <c r="N57" s="385">
        <f t="shared" si="1"/>
        <v>10388.52</v>
      </c>
      <c r="O57" s="385">
        <f t="shared" si="2"/>
        <v>-5388.52</v>
      </c>
      <c r="P57" s="452" t="s">
        <v>835</v>
      </c>
      <c r="Q57" s="422" t="s">
        <v>836</v>
      </c>
      <c r="R57" s="197" t="s">
        <v>13</v>
      </c>
      <c r="S57" s="250"/>
    </row>
    <row r="58" spans="1:20" ht="282" customHeight="1" x14ac:dyDescent="0.35">
      <c r="A58" s="205">
        <v>54</v>
      </c>
      <c r="B58" s="205"/>
      <c r="C58" s="197" t="s">
        <v>179</v>
      </c>
      <c r="D58" s="197" t="s">
        <v>378</v>
      </c>
      <c r="E58" s="205"/>
      <c r="F58" s="261">
        <v>25000</v>
      </c>
      <c r="G58" s="249">
        <f t="shared" si="0"/>
        <v>2175000</v>
      </c>
      <c r="H58" s="346">
        <f>200546+4725+9745+7660+210</f>
        <v>222886</v>
      </c>
      <c r="I58" s="385"/>
      <c r="J58" s="494"/>
      <c r="K58" s="385">
        <f>9306.9+7594.7</f>
        <v>16901.599999999999</v>
      </c>
      <c r="L58" s="385"/>
      <c r="M58" s="385"/>
      <c r="N58" s="385">
        <f t="shared" si="1"/>
        <v>77080.820000000007</v>
      </c>
      <c r="O58" s="385">
        <f t="shared" si="2"/>
        <v>-52080.820000000007</v>
      </c>
      <c r="P58" s="452" t="s">
        <v>893</v>
      </c>
      <c r="Q58" s="422" t="s">
        <v>894</v>
      </c>
      <c r="R58" s="197" t="s">
        <v>13</v>
      </c>
      <c r="S58" s="250"/>
    </row>
    <row r="59" spans="1:20" ht="409.5" customHeight="1" x14ac:dyDescent="0.35">
      <c r="A59" s="205">
        <v>55</v>
      </c>
      <c r="B59" s="205"/>
      <c r="C59" s="197" t="s">
        <v>179</v>
      </c>
      <c r="D59" s="197" t="s">
        <v>379</v>
      </c>
      <c r="E59" s="205"/>
      <c r="F59" s="261">
        <v>25000</v>
      </c>
      <c r="G59" s="249">
        <f t="shared" si="0"/>
        <v>2175000</v>
      </c>
      <c r="H59" s="346">
        <f>41552+360+12000+231+185+1700</f>
        <v>56028</v>
      </c>
      <c r="I59" s="385">
        <f>1759.4+18079</f>
        <v>19838.400000000001</v>
      </c>
      <c r="J59" s="494">
        <f>262300+56000+97020+157290+50715</f>
        <v>623325</v>
      </c>
      <c r="K59" s="385"/>
      <c r="L59" s="385"/>
      <c r="M59" s="385"/>
      <c r="N59" s="385">
        <f t="shared" si="1"/>
        <v>42127.964250000005</v>
      </c>
      <c r="O59" s="385">
        <f t="shared" si="2"/>
        <v>-17127.964250000005</v>
      </c>
      <c r="P59" s="452" t="s">
        <v>911</v>
      </c>
      <c r="Q59" s="422" t="s">
        <v>912</v>
      </c>
      <c r="R59" s="197" t="s">
        <v>13</v>
      </c>
      <c r="S59" s="250"/>
    </row>
    <row r="60" spans="1:20" ht="30" customHeight="1" x14ac:dyDescent="0.35">
      <c r="A60" s="205">
        <v>56</v>
      </c>
      <c r="B60" s="205"/>
      <c r="C60" s="197" t="s">
        <v>179</v>
      </c>
      <c r="D60" s="219" t="s">
        <v>418</v>
      </c>
      <c r="E60" s="205" t="s">
        <v>388</v>
      </c>
      <c r="F60" s="261">
        <v>25000</v>
      </c>
      <c r="G60" s="249">
        <f t="shared" si="0"/>
        <v>2175000</v>
      </c>
      <c r="H60" s="346">
        <v>1082</v>
      </c>
      <c r="I60" s="385"/>
      <c r="J60" s="494"/>
      <c r="K60" s="385"/>
      <c r="L60" s="385"/>
      <c r="M60" s="385"/>
      <c r="N60" s="385">
        <f t="shared" si="1"/>
        <v>292.14000000000004</v>
      </c>
      <c r="O60" s="385">
        <f t="shared" si="2"/>
        <v>24707.86</v>
      </c>
      <c r="P60" s="561" t="s">
        <v>740</v>
      </c>
      <c r="Q60" s="562" t="s">
        <v>741</v>
      </c>
      <c r="R60" s="197" t="s">
        <v>13</v>
      </c>
      <c r="S60" s="250"/>
    </row>
    <row r="61" spans="1:20" ht="30" customHeight="1" x14ac:dyDescent="0.35">
      <c r="A61" s="205">
        <v>57</v>
      </c>
      <c r="B61" s="205"/>
      <c r="C61" s="197" t="s">
        <v>387</v>
      </c>
      <c r="D61" s="219" t="s">
        <v>475</v>
      </c>
      <c r="E61" s="205" t="s">
        <v>448</v>
      </c>
      <c r="F61" s="261">
        <v>10000</v>
      </c>
      <c r="G61" s="249">
        <f t="shared" si="0"/>
        <v>870000</v>
      </c>
      <c r="H61" s="346">
        <v>2052</v>
      </c>
      <c r="I61" s="385"/>
      <c r="J61" s="494"/>
      <c r="K61" s="385"/>
      <c r="L61" s="385"/>
      <c r="M61" s="385"/>
      <c r="N61" s="385">
        <f t="shared" si="1"/>
        <v>554.04000000000008</v>
      </c>
      <c r="O61" s="385">
        <f t="shared" si="2"/>
        <v>9445.9599999999991</v>
      </c>
      <c r="P61" s="373" t="s">
        <v>729</v>
      </c>
      <c r="Q61" s="346" t="s">
        <v>730</v>
      </c>
      <c r="R61" s="197" t="s">
        <v>13</v>
      </c>
      <c r="S61" s="250"/>
    </row>
    <row r="62" spans="1:20" ht="30" customHeight="1" x14ac:dyDescent="0.35">
      <c r="A62" s="205">
        <v>58</v>
      </c>
      <c r="B62" s="205"/>
      <c r="C62" s="197" t="s">
        <v>410</v>
      </c>
      <c r="D62" s="329" t="s">
        <v>413</v>
      </c>
      <c r="E62" s="205" t="s">
        <v>120</v>
      </c>
      <c r="F62" s="261">
        <v>10000</v>
      </c>
      <c r="G62" s="249">
        <f t="shared" si="0"/>
        <v>870000</v>
      </c>
      <c r="H62" s="346"/>
      <c r="I62" s="385"/>
      <c r="J62" s="494"/>
      <c r="K62" s="385"/>
      <c r="L62" s="385"/>
      <c r="M62" s="385"/>
      <c r="N62" s="385">
        <f t="shared" si="1"/>
        <v>0</v>
      </c>
      <c r="O62" s="385">
        <f t="shared" si="2"/>
        <v>10000</v>
      </c>
      <c r="P62" s="373"/>
      <c r="Q62" s="346"/>
      <c r="R62" s="197" t="s">
        <v>13</v>
      </c>
      <c r="S62" s="250"/>
    </row>
    <row r="63" spans="1:20" ht="30" customHeight="1" x14ac:dyDescent="0.35">
      <c r="A63" s="205">
        <v>59</v>
      </c>
      <c r="B63" s="205"/>
      <c r="C63" s="197" t="s">
        <v>507</v>
      </c>
      <c r="D63" s="330" t="s">
        <v>508</v>
      </c>
      <c r="E63" s="205" t="s">
        <v>448</v>
      </c>
      <c r="F63" s="261">
        <v>10000</v>
      </c>
      <c r="G63" s="249">
        <f t="shared" si="0"/>
        <v>870000</v>
      </c>
      <c r="H63" s="346">
        <v>7060</v>
      </c>
      <c r="I63" s="385">
        <v>1551</v>
      </c>
      <c r="J63" s="494"/>
      <c r="K63" s="385"/>
      <c r="L63" s="385"/>
      <c r="M63" s="385"/>
      <c r="N63" s="385">
        <f t="shared" si="1"/>
        <v>3457.2</v>
      </c>
      <c r="O63" s="385">
        <f t="shared" si="2"/>
        <v>6542.8</v>
      </c>
      <c r="P63" s="452" t="s">
        <v>885</v>
      </c>
      <c r="Q63" s="422" t="s">
        <v>886</v>
      </c>
      <c r="R63" s="197" t="s">
        <v>13</v>
      </c>
      <c r="S63" s="250"/>
    </row>
    <row r="64" spans="1:20" ht="30" customHeight="1" x14ac:dyDescent="0.35">
      <c r="A64" s="205">
        <v>60</v>
      </c>
      <c r="B64" s="205"/>
      <c r="C64" s="197" t="s">
        <v>411</v>
      </c>
      <c r="D64" s="219" t="s">
        <v>417</v>
      </c>
      <c r="E64" s="205" t="s">
        <v>448</v>
      </c>
      <c r="F64" s="261">
        <v>10000</v>
      </c>
      <c r="G64" s="249">
        <f t="shared" si="0"/>
        <v>870000</v>
      </c>
      <c r="H64" s="346">
        <v>24012.45</v>
      </c>
      <c r="I64" s="385"/>
      <c r="J64" s="494"/>
      <c r="K64" s="385"/>
      <c r="L64" s="385"/>
      <c r="M64" s="385"/>
      <c r="N64" s="385">
        <f t="shared" si="1"/>
        <v>6483.3615000000009</v>
      </c>
      <c r="O64" s="385">
        <f t="shared" si="2"/>
        <v>3516.6384999999991</v>
      </c>
      <c r="P64" s="373" t="s">
        <v>565</v>
      </c>
      <c r="Q64" s="346" t="s">
        <v>566</v>
      </c>
      <c r="R64" s="197" t="s">
        <v>13</v>
      </c>
      <c r="S64" s="250"/>
    </row>
    <row r="65" spans="1:19" ht="30" customHeight="1" x14ac:dyDescent="0.35">
      <c r="A65" s="205">
        <v>61</v>
      </c>
      <c r="B65" s="205"/>
      <c r="C65" s="197" t="s">
        <v>451</v>
      </c>
      <c r="D65" s="219" t="s">
        <v>450</v>
      </c>
      <c r="E65" s="205" t="s">
        <v>448</v>
      </c>
      <c r="F65" s="261">
        <v>10000</v>
      </c>
      <c r="G65" s="249">
        <f t="shared" si="0"/>
        <v>870000</v>
      </c>
      <c r="H65" s="346"/>
      <c r="I65" s="385"/>
      <c r="J65" s="494"/>
      <c r="K65" s="385">
        <v>7590.87</v>
      </c>
      <c r="L65" s="385"/>
      <c r="M65" s="385"/>
      <c r="N65" s="385">
        <f t="shared" si="1"/>
        <v>7590.87</v>
      </c>
      <c r="O65" s="385">
        <f t="shared" si="2"/>
        <v>2409.13</v>
      </c>
      <c r="P65" s="373" t="s">
        <v>626</v>
      </c>
      <c r="Q65" s="346" t="s">
        <v>627</v>
      </c>
      <c r="R65" s="197" t="s">
        <v>13</v>
      </c>
      <c r="S65" s="250"/>
    </row>
    <row r="66" spans="1:19" ht="40.5" customHeight="1" x14ac:dyDescent="0.35">
      <c r="A66" s="686" t="s">
        <v>243</v>
      </c>
      <c r="B66" s="687"/>
      <c r="C66" s="687"/>
      <c r="D66" s="687"/>
      <c r="E66" s="687"/>
      <c r="F66" s="262">
        <f>SUM(F4:F65)</f>
        <v>1856500</v>
      </c>
      <c r="G66" s="263">
        <f>SUM(G4:G65)</f>
        <v>161515500</v>
      </c>
      <c r="H66" s="348"/>
      <c r="I66" s="387"/>
      <c r="J66" s="497"/>
      <c r="K66" s="387"/>
      <c r="L66" s="387"/>
      <c r="M66" s="387"/>
      <c r="N66" s="387">
        <f>SUM(N4:N65)</f>
        <v>1107431.4560949001</v>
      </c>
      <c r="O66" s="387">
        <f>F66-N66</f>
        <v>749068.54390509985</v>
      </c>
      <c r="P66" s="375"/>
      <c r="Q66" s="348"/>
      <c r="R66" s="197"/>
      <c r="S66" s="250"/>
    </row>
  </sheetData>
  <mergeCells count="6">
    <mergeCell ref="A1:S1"/>
    <mergeCell ref="A66:E66"/>
    <mergeCell ref="C2:G2"/>
    <mergeCell ref="A9:A10"/>
    <mergeCell ref="C9:C10"/>
    <mergeCell ref="B9:B10"/>
  </mergeCells>
  <conditionalFormatting sqref="O4:O65">
    <cfRule type="cellIs" dxfId="5" priority="1" operator="lessThan">
      <formula>0</formula>
    </cfRule>
    <cfRule type="cellIs" dxfId="4" priority="2" operator="greaterThan">
      <formula>0</formula>
    </cfRule>
  </conditionalFormatting>
  <pageMargins left="0.7" right="0.7" top="0.75" bottom="0.75" header="0.3" footer="0.3"/>
  <pageSetup paperSize="9" scale="85"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0"/>
  <sheetViews>
    <sheetView showGridLines="0" zoomScale="75" zoomScaleNormal="75" workbookViewId="0">
      <pane xSplit="2" ySplit="2" topLeftCell="C42" activePane="bottomRight" state="frozen"/>
      <selection pane="topRight" activeCell="C1" sqref="C1"/>
      <selection pane="bottomLeft" activeCell="A3" sqref="A3"/>
      <selection pane="bottomRight" activeCell="G25" sqref="G25"/>
    </sheetView>
  </sheetViews>
  <sheetFormatPr defaultRowHeight="14.5" x14ac:dyDescent="0.35"/>
  <cols>
    <col min="2" max="2" width="86.1796875" style="200" customWidth="1"/>
    <col min="3" max="3" width="18.453125" style="233" customWidth="1"/>
    <col min="4" max="4" width="19.453125" style="201" customWidth="1"/>
    <col min="5" max="5" width="19.453125" style="349" customWidth="1"/>
    <col min="6" max="6" width="19.453125" style="233" customWidth="1"/>
    <col min="7" max="7" width="19.453125" style="473" customWidth="1"/>
    <col min="8" max="11" width="19.453125" style="233" customWidth="1"/>
    <col min="12" max="12" width="25" style="201" customWidth="1"/>
    <col min="13" max="13" width="26.26953125" style="201" customWidth="1"/>
    <col min="14" max="14" width="45.81640625" style="201" customWidth="1"/>
    <col min="15" max="15" width="13.26953125" customWidth="1"/>
    <col min="16" max="16" width="17.453125" customWidth="1"/>
  </cols>
  <sheetData>
    <row r="1" spans="1:15" ht="33" customHeight="1" thickBot="1" x14ac:dyDescent="0.4">
      <c r="A1" s="236" t="s">
        <v>244</v>
      </c>
      <c r="B1" s="698" t="s">
        <v>352</v>
      </c>
      <c r="C1" s="699"/>
      <c r="D1" s="699"/>
      <c r="E1" s="699"/>
      <c r="F1" s="699"/>
      <c r="G1" s="699"/>
      <c r="H1" s="699"/>
      <c r="I1" s="699"/>
      <c r="J1" s="699"/>
      <c r="K1" s="699"/>
      <c r="L1" s="699"/>
      <c r="M1" s="699"/>
      <c r="N1" s="700"/>
    </row>
    <row r="2" spans="1:15" ht="31.5" customHeight="1" x14ac:dyDescent="0.35">
      <c r="A2" s="237" t="s">
        <v>28</v>
      </c>
      <c r="B2" s="213" t="s">
        <v>245</v>
      </c>
      <c r="C2" s="235" t="s">
        <v>470</v>
      </c>
      <c r="D2" s="234" t="s">
        <v>471</v>
      </c>
      <c r="E2" s="378" t="s">
        <v>597</v>
      </c>
      <c r="F2" s="235" t="s">
        <v>598</v>
      </c>
      <c r="G2" s="468" t="s">
        <v>670</v>
      </c>
      <c r="H2" s="235" t="s">
        <v>599</v>
      </c>
      <c r="I2" s="235" t="s">
        <v>770</v>
      </c>
      <c r="J2" s="239" t="s">
        <v>718</v>
      </c>
      <c r="K2" s="437" t="s">
        <v>721</v>
      </c>
      <c r="L2" s="234" t="s">
        <v>555</v>
      </c>
      <c r="M2" s="234" t="s">
        <v>526</v>
      </c>
      <c r="N2" s="214" t="s">
        <v>6</v>
      </c>
    </row>
    <row r="3" spans="1:15" ht="30" customHeight="1" x14ac:dyDescent="0.35">
      <c r="A3" s="238">
        <v>1</v>
      </c>
      <c r="B3" s="215" t="s">
        <v>430</v>
      </c>
      <c r="C3" s="216">
        <v>18000</v>
      </c>
      <c r="D3" s="217">
        <f>C3*87</f>
        <v>1566000</v>
      </c>
      <c r="E3" s="379"/>
      <c r="F3" s="216"/>
      <c r="G3" s="217"/>
      <c r="H3" s="216">
        <v>15546.96</v>
      </c>
      <c r="I3" s="216"/>
      <c r="J3" s="216">
        <f>E3*0.27+F3+G3*0.01149+H3+I3</f>
        <v>15546.96</v>
      </c>
      <c r="K3" s="216">
        <f>C3-J3</f>
        <v>2453.0400000000009</v>
      </c>
      <c r="L3" s="217" t="s">
        <v>609</v>
      </c>
      <c r="M3" s="217" t="s">
        <v>610</v>
      </c>
      <c r="N3" s="218" t="s">
        <v>13</v>
      </c>
      <c r="O3" s="76"/>
    </row>
    <row r="4" spans="1:15" ht="30" customHeight="1" x14ac:dyDescent="0.35">
      <c r="A4" s="238">
        <v>2</v>
      </c>
      <c r="B4" s="215" t="s">
        <v>247</v>
      </c>
      <c r="C4" s="216">
        <v>20000</v>
      </c>
      <c r="D4" s="217">
        <f t="shared" ref="D4:D26" si="0">C4*87</f>
        <v>1740000</v>
      </c>
      <c r="E4" s="379"/>
      <c r="F4" s="216"/>
      <c r="G4" s="217"/>
      <c r="H4" s="216">
        <v>10896</v>
      </c>
      <c r="I4" s="216"/>
      <c r="J4" s="216">
        <f t="shared" ref="J4:J48" si="1">E4*0.27+F4+G4*0.01149+H4+I4</f>
        <v>10896</v>
      </c>
      <c r="K4" s="216">
        <f t="shared" ref="K4:K48" si="2">C4-J4</f>
        <v>9104</v>
      </c>
      <c r="L4" s="217" t="s">
        <v>649</v>
      </c>
      <c r="M4" s="217" t="s">
        <v>650</v>
      </c>
      <c r="N4" s="218" t="s">
        <v>13</v>
      </c>
    </row>
    <row r="5" spans="1:15" ht="30" customHeight="1" x14ac:dyDescent="0.35">
      <c r="A5" s="238">
        <v>3</v>
      </c>
      <c r="B5" s="215" t="s">
        <v>248</v>
      </c>
      <c r="C5" s="216">
        <v>14500</v>
      </c>
      <c r="D5" s="217">
        <f t="shared" si="0"/>
        <v>1261500</v>
      </c>
      <c r="E5" s="379"/>
      <c r="F5" s="216"/>
      <c r="G5" s="217"/>
      <c r="H5" s="216">
        <v>9340</v>
      </c>
      <c r="I5" s="216"/>
      <c r="J5" s="216">
        <f t="shared" si="1"/>
        <v>9340</v>
      </c>
      <c r="K5" s="216">
        <f t="shared" si="2"/>
        <v>5160</v>
      </c>
      <c r="L5" s="217" t="s">
        <v>614</v>
      </c>
      <c r="M5" s="217" t="s">
        <v>615</v>
      </c>
      <c r="N5" s="218" t="s">
        <v>13</v>
      </c>
    </row>
    <row r="6" spans="1:15" ht="75.650000000000006" customHeight="1" x14ac:dyDescent="0.35">
      <c r="A6" s="238">
        <v>4</v>
      </c>
      <c r="B6" s="219" t="s">
        <v>447</v>
      </c>
      <c r="C6" s="216">
        <v>10000</v>
      </c>
      <c r="D6" s="217">
        <f t="shared" si="0"/>
        <v>870000</v>
      </c>
      <c r="E6" s="379"/>
      <c r="F6" s="216"/>
      <c r="G6" s="217"/>
      <c r="H6" s="216"/>
      <c r="I6" s="216"/>
      <c r="J6" s="216">
        <f t="shared" si="1"/>
        <v>0</v>
      </c>
      <c r="K6" s="216">
        <f t="shared" si="2"/>
        <v>10000</v>
      </c>
      <c r="L6" s="217" t="s">
        <v>713</v>
      </c>
      <c r="M6" s="217"/>
      <c r="N6" s="218" t="s">
        <v>13</v>
      </c>
    </row>
    <row r="7" spans="1:15" ht="30" customHeight="1" x14ac:dyDescent="0.35">
      <c r="A7" s="238">
        <v>5</v>
      </c>
      <c r="B7" s="219" t="s">
        <v>249</v>
      </c>
      <c r="C7" s="216">
        <v>10000</v>
      </c>
      <c r="D7" s="217">
        <f t="shared" si="0"/>
        <v>870000</v>
      </c>
      <c r="E7" s="379"/>
      <c r="F7" s="216"/>
      <c r="G7" s="217"/>
      <c r="H7" s="216"/>
      <c r="I7" s="216"/>
      <c r="J7" s="216">
        <f t="shared" si="1"/>
        <v>0</v>
      </c>
      <c r="K7" s="216">
        <f t="shared" si="2"/>
        <v>10000</v>
      </c>
      <c r="L7" s="217"/>
      <c r="M7" s="217"/>
      <c r="N7" s="218" t="s">
        <v>13</v>
      </c>
    </row>
    <row r="8" spans="1:15" ht="30" customHeight="1" x14ac:dyDescent="0.35">
      <c r="A8" s="238">
        <v>6</v>
      </c>
      <c r="B8" s="215" t="s">
        <v>250</v>
      </c>
      <c r="C8" s="216">
        <v>15000</v>
      </c>
      <c r="D8" s="217">
        <f t="shared" si="0"/>
        <v>1305000</v>
      </c>
      <c r="E8" s="379">
        <v>22455</v>
      </c>
      <c r="F8" s="216"/>
      <c r="G8" s="217"/>
      <c r="H8" s="216"/>
      <c r="I8" s="216"/>
      <c r="J8" s="216">
        <f t="shared" si="1"/>
        <v>6062.85</v>
      </c>
      <c r="K8" s="216">
        <f t="shared" si="2"/>
        <v>8937.15</v>
      </c>
      <c r="L8" s="217" t="s">
        <v>751</v>
      </c>
      <c r="M8" s="217" t="s">
        <v>752</v>
      </c>
      <c r="N8" s="218" t="s">
        <v>13</v>
      </c>
    </row>
    <row r="9" spans="1:15" ht="30" customHeight="1" x14ac:dyDescent="0.35">
      <c r="A9" s="238">
        <v>7</v>
      </c>
      <c r="B9" s="215" t="s">
        <v>251</v>
      </c>
      <c r="C9" s="216">
        <v>15000</v>
      </c>
      <c r="D9" s="217">
        <f t="shared" si="0"/>
        <v>1305000</v>
      </c>
      <c r="E9" s="379"/>
      <c r="F9" s="216"/>
      <c r="G9" s="217">
        <v>950600</v>
      </c>
      <c r="H9" s="216"/>
      <c r="I9" s="216"/>
      <c r="J9" s="216">
        <f t="shared" si="1"/>
        <v>10922.394</v>
      </c>
      <c r="K9" s="216">
        <f t="shared" si="2"/>
        <v>4077.6059999999998</v>
      </c>
      <c r="L9" s="217" t="s">
        <v>764</v>
      </c>
      <c r="M9" s="217" t="s">
        <v>765</v>
      </c>
      <c r="N9" s="218" t="s">
        <v>13</v>
      </c>
    </row>
    <row r="10" spans="1:15" ht="30" customHeight="1" x14ac:dyDescent="0.35">
      <c r="A10" s="238">
        <v>8</v>
      </c>
      <c r="B10" s="215" t="s">
        <v>252</v>
      </c>
      <c r="C10" s="216">
        <v>13000</v>
      </c>
      <c r="D10" s="217">
        <f t="shared" si="0"/>
        <v>1131000</v>
      </c>
      <c r="E10" s="379"/>
      <c r="F10" s="216"/>
      <c r="G10" s="217">
        <v>992750</v>
      </c>
      <c r="H10" s="216"/>
      <c r="I10" s="216"/>
      <c r="J10" s="216">
        <f t="shared" si="1"/>
        <v>11406.6975</v>
      </c>
      <c r="K10" s="216">
        <f t="shared" si="2"/>
        <v>1593.3024999999998</v>
      </c>
      <c r="L10" s="217" t="s">
        <v>671</v>
      </c>
      <c r="M10" s="217" t="s">
        <v>672</v>
      </c>
      <c r="N10" s="218" t="s">
        <v>13</v>
      </c>
    </row>
    <row r="11" spans="1:15" ht="30" customHeight="1" x14ac:dyDescent="0.35">
      <c r="A11" s="238">
        <v>9</v>
      </c>
      <c r="B11" s="219" t="s">
        <v>253</v>
      </c>
      <c r="C11" s="216">
        <v>60000</v>
      </c>
      <c r="D11" s="217">
        <f t="shared" si="0"/>
        <v>5220000</v>
      </c>
      <c r="E11" s="379">
        <v>7200</v>
      </c>
      <c r="F11" s="216"/>
      <c r="G11" s="217"/>
      <c r="H11" s="216">
        <v>51217.45</v>
      </c>
      <c r="I11" s="216"/>
      <c r="J11" s="216">
        <f t="shared" si="1"/>
        <v>53161.45</v>
      </c>
      <c r="K11" s="216">
        <f t="shared" si="2"/>
        <v>6838.5500000000029</v>
      </c>
      <c r="L11" s="217" t="s">
        <v>868</v>
      </c>
      <c r="M11" s="217" t="s">
        <v>869</v>
      </c>
      <c r="N11" s="218" t="s">
        <v>13</v>
      </c>
    </row>
    <row r="12" spans="1:15" ht="30" customHeight="1" x14ac:dyDescent="0.35">
      <c r="A12" s="238">
        <v>10</v>
      </c>
      <c r="B12" s="219" t="s">
        <v>254</v>
      </c>
      <c r="C12" s="216">
        <v>0</v>
      </c>
      <c r="D12" s="217">
        <f t="shared" si="0"/>
        <v>0</v>
      </c>
      <c r="E12" s="379"/>
      <c r="F12" s="216"/>
      <c r="G12" s="217"/>
      <c r="H12" s="216"/>
      <c r="I12" s="216"/>
      <c r="J12" s="216">
        <f t="shared" si="1"/>
        <v>0</v>
      </c>
      <c r="K12" s="216">
        <f t="shared" si="2"/>
        <v>0</v>
      </c>
      <c r="L12" s="217"/>
      <c r="M12" s="217"/>
      <c r="N12" s="219" t="s">
        <v>328</v>
      </c>
    </row>
    <row r="13" spans="1:15" ht="30" customHeight="1" x14ac:dyDescent="0.35">
      <c r="A13" s="238">
        <v>11</v>
      </c>
      <c r="B13" s="219" t="s">
        <v>255</v>
      </c>
      <c r="C13" s="216">
        <v>2000</v>
      </c>
      <c r="D13" s="217">
        <f t="shared" si="0"/>
        <v>174000</v>
      </c>
      <c r="E13" s="379">
        <v>990</v>
      </c>
      <c r="F13" s="216"/>
      <c r="G13" s="217"/>
      <c r="H13" s="216"/>
      <c r="I13" s="216"/>
      <c r="J13" s="216">
        <f t="shared" si="1"/>
        <v>267.3</v>
      </c>
      <c r="K13" s="216">
        <f t="shared" si="2"/>
        <v>1732.7</v>
      </c>
      <c r="L13" s="217" t="s">
        <v>581</v>
      </c>
      <c r="M13" s="217" t="s">
        <v>582</v>
      </c>
      <c r="N13" s="218" t="s">
        <v>13</v>
      </c>
    </row>
    <row r="14" spans="1:15" ht="30" customHeight="1" x14ac:dyDescent="0.35">
      <c r="A14" s="238">
        <v>12</v>
      </c>
      <c r="B14" s="219" t="s">
        <v>256</v>
      </c>
      <c r="C14" s="216">
        <v>1149</v>
      </c>
      <c r="D14" s="217">
        <f t="shared" si="0"/>
        <v>99963</v>
      </c>
      <c r="E14" s="379"/>
      <c r="F14" s="216"/>
      <c r="G14" s="217"/>
      <c r="H14" s="216"/>
      <c r="I14" s="216"/>
      <c r="J14" s="216">
        <f t="shared" si="1"/>
        <v>0</v>
      </c>
      <c r="K14" s="216">
        <f t="shared" si="2"/>
        <v>1149</v>
      </c>
      <c r="L14" s="217"/>
      <c r="M14" s="217"/>
      <c r="N14" s="218" t="s">
        <v>13</v>
      </c>
    </row>
    <row r="15" spans="1:15" ht="30" customHeight="1" x14ac:dyDescent="0.35">
      <c r="A15" s="238">
        <v>13</v>
      </c>
      <c r="B15" s="219" t="s">
        <v>545</v>
      </c>
      <c r="C15" s="216">
        <v>20000</v>
      </c>
      <c r="D15" s="217">
        <f t="shared" si="0"/>
        <v>1740000</v>
      </c>
      <c r="E15" s="379"/>
      <c r="F15" s="216"/>
      <c r="G15" s="217"/>
      <c r="H15" s="216"/>
      <c r="I15" s="216"/>
      <c r="J15" s="216">
        <f t="shared" si="1"/>
        <v>0</v>
      </c>
      <c r="K15" s="216">
        <f t="shared" si="2"/>
        <v>20000</v>
      </c>
      <c r="L15" s="217"/>
      <c r="M15" s="217"/>
      <c r="N15" s="218" t="s">
        <v>13</v>
      </c>
    </row>
    <row r="16" spans="1:15" ht="30" customHeight="1" x14ac:dyDescent="0.35">
      <c r="A16" s="238">
        <v>14</v>
      </c>
      <c r="B16" s="219" t="s">
        <v>257</v>
      </c>
      <c r="C16" s="216">
        <v>300000</v>
      </c>
      <c r="D16" s="217">
        <f t="shared" si="0"/>
        <v>26100000</v>
      </c>
      <c r="E16" s="379"/>
      <c r="F16" s="216"/>
      <c r="G16" s="217"/>
      <c r="H16" s="216">
        <v>83351.88</v>
      </c>
      <c r="I16" s="216"/>
      <c r="J16" s="216">
        <f t="shared" si="1"/>
        <v>83351.88</v>
      </c>
      <c r="K16" s="216">
        <f t="shared" si="2"/>
        <v>216648.12</v>
      </c>
      <c r="L16" s="217" t="s">
        <v>641</v>
      </c>
      <c r="M16" s="217" t="s">
        <v>642</v>
      </c>
      <c r="N16" s="218" t="s">
        <v>13</v>
      </c>
    </row>
    <row r="17" spans="1:18" ht="30" customHeight="1" x14ac:dyDescent="0.35">
      <c r="A17" s="238">
        <v>15</v>
      </c>
      <c r="B17" s="219" t="s">
        <v>258</v>
      </c>
      <c r="C17" s="220">
        <v>7000</v>
      </c>
      <c r="D17" s="217">
        <f t="shared" si="0"/>
        <v>609000</v>
      </c>
      <c r="E17" s="379"/>
      <c r="F17" s="216"/>
      <c r="G17" s="217">
        <v>489920</v>
      </c>
      <c r="H17" s="216"/>
      <c r="I17" s="216"/>
      <c r="J17" s="216">
        <f t="shared" si="1"/>
        <v>5629.1808000000001</v>
      </c>
      <c r="K17" s="216">
        <f t="shared" si="2"/>
        <v>1370.8191999999999</v>
      </c>
      <c r="L17" s="217" t="s">
        <v>699</v>
      </c>
      <c r="M17" s="217" t="s">
        <v>698</v>
      </c>
      <c r="N17" s="218" t="s">
        <v>13</v>
      </c>
    </row>
    <row r="18" spans="1:18" ht="30" customHeight="1" x14ac:dyDescent="0.35">
      <c r="A18" s="238">
        <v>16</v>
      </c>
      <c r="B18" s="219" t="s">
        <v>259</v>
      </c>
      <c r="C18" s="216">
        <v>2068.9655172413795</v>
      </c>
      <c r="D18" s="217">
        <f t="shared" si="0"/>
        <v>180000.00000000003</v>
      </c>
      <c r="E18" s="379"/>
      <c r="F18" s="216"/>
      <c r="G18" s="217"/>
      <c r="H18" s="216"/>
      <c r="I18" s="216"/>
      <c r="J18" s="216">
        <f t="shared" si="1"/>
        <v>0</v>
      </c>
      <c r="K18" s="216">
        <f t="shared" si="2"/>
        <v>2068.9655172413795</v>
      </c>
      <c r="L18" s="217"/>
      <c r="M18" s="217"/>
      <c r="N18" s="218" t="s">
        <v>13</v>
      </c>
    </row>
    <row r="19" spans="1:18" ht="30" customHeight="1" x14ac:dyDescent="0.35">
      <c r="A19" s="238">
        <v>17</v>
      </c>
      <c r="B19" s="219" t="s">
        <v>260</v>
      </c>
      <c r="C19" s="216">
        <v>5747.1264367816093</v>
      </c>
      <c r="D19" s="217">
        <f t="shared" si="0"/>
        <v>500000</v>
      </c>
      <c r="E19" s="379"/>
      <c r="F19" s="216"/>
      <c r="G19" s="217">
        <f>113300+81799</f>
        <v>195099</v>
      </c>
      <c r="H19" s="216"/>
      <c r="I19" s="216"/>
      <c r="J19" s="216">
        <f t="shared" si="1"/>
        <v>2241.6875100000002</v>
      </c>
      <c r="K19" s="216">
        <f t="shared" si="2"/>
        <v>3505.4389267816091</v>
      </c>
      <c r="L19" s="217" t="s">
        <v>700</v>
      </c>
      <c r="M19" s="570" t="s">
        <v>761</v>
      </c>
      <c r="N19" s="218" t="s">
        <v>13</v>
      </c>
    </row>
    <row r="20" spans="1:18" ht="30" customHeight="1" x14ac:dyDescent="0.35">
      <c r="A20" s="238">
        <v>18</v>
      </c>
      <c r="B20" s="219" t="s">
        <v>261</v>
      </c>
      <c r="C20" s="216">
        <v>6024.0963855421687</v>
      </c>
      <c r="D20" s="217">
        <f t="shared" si="0"/>
        <v>524096.38554216869</v>
      </c>
      <c r="E20" s="379"/>
      <c r="F20" s="216"/>
      <c r="G20" s="217">
        <v>420825</v>
      </c>
      <c r="H20" s="216"/>
      <c r="I20" s="216"/>
      <c r="J20" s="216">
        <f t="shared" si="1"/>
        <v>4835.2792500000005</v>
      </c>
      <c r="K20" s="216">
        <f t="shared" si="2"/>
        <v>1188.8171355421682</v>
      </c>
      <c r="L20" s="217" t="s">
        <v>686</v>
      </c>
      <c r="M20" s="217" t="s">
        <v>685</v>
      </c>
      <c r="N20" s="218" t="s">
        <v>13</v>
      </c>
    </row>
    <row r="21" spans="1:18" ht="30" customHeight="1" x14ac:dyDescent="0.35">
      <c r="A21" s="238">
        <v>19</v>
      </c>
      <c r="B21" s="219" t="s">
        <v>105</v>
      </c>
      <c r="C21" s="216">
        <v>31927.710843373494</v>
      </c>
      <c r="D21" s="217">
        <f t="shared" si="0"/>
        <v>2777710.8433734938</v>
      </c>
      <c r="E21" s="379"/>
      <c r="F21" s="216"/>
      <c r="G21" s="217">
        <v>2732850</v>
      </c>
      <c r="H21" s="216"/>
      <c r="I21" s="216"/>
      <c r="J21" s="216">
        <f t="shared" si="1"/>
        <v>31400.446500000002</v>
      </c>
      <c r="K21" s="216">
        <f t="shared" si="2"/>
        <v>527.26434337349201</v>
      </c>
      <c r="L21" s="217" t="s">
        <v>684</v>
      </c>
      <c r="M21" s="217" t="s">
        <v>683</v>
      </c>
      <c r="N21" s="218" t="s">
        <v>13</v>
      </c>
    </row>
    <row r="22" spans="1:18" ht="123.65" customHeight="1" x14ac:dyDescent="0.35">
      <c r="A22" s="238">
        <v>20</v>
      </c>
      <c r="B22" s="219" t="s">
        <v>319</v>
      </c>
      <c r="C22" s="216">
        <f>850000-SUM(C3:C21)</f>
        <v>298583.10081706138</v>
      </c>
      <c r="D22" s="217">
        <f t="shared" si="0"/>
        <v>25976729.771084338</v>
      </c>
      <c r="E22" s="379">
        <v>16350</v>
      </c>
      <c r="F22" s="216">
        <f>31000</f>
        <v>31000</v>
      </c>
      <c r="G22" s="217">
        <f>270000+9710960+119969</f>
        <v>10100929</v>
      </c>
      <c r="H22" s="216">
        <f>40435.67+10425+20425</f>
        <v>71285.67</v>
      </c>
      <c r="I22" s="216"/>
      <c r="J22" s="216">
        <f t="shared" si="1"/>
        <v>222759.84421000001</v>
      </c>
      <c r="K22" s="216">
        <f t="shared" si="2"/>
        <v>75823.256607061368</v>
      </c>
      <c r="L22" s="217" t="s">
        <v>913</v>
      </c>
      <c r="M22" s="558" t="s">
        <v>914</v>
      </c>
      <c r="N22" s="219" t="s">
        <v>428</v>
      </c>
    </row>
    <row r="23" spans="1:18" ht="132.75" customHeight="1" x14ac:dyDescent="0.35">
      <c r="A23" s="238">
        <v>21</v>
      </c>
      <c r="B23" s="219" t="s">
        <v>454</v>
      </c>
      <c r="C23" s="216">
        <f>1200000</f>
        <v>1200000</v>
      </c>
      <c r="D23" s="217">
        <f t="shared" si="0"/>
        <v>104400000</v>
      </c>
      <c r="E23" s="379"/>
      <c r="F23" s="216">
        <v>6241</v>
      </c>
      <c r="G23" s="217"/>
      <c r="H23" s="216">
        <v>1059424</v>
      </c>
      <c r="I23" s="216"/>
      <c r="J23" s="216">
        <f t="shared" si="1"/>
        <v>1065665</v>
      </c>
      <c r="K23" s="216">
        <f t="shared" si="2"/>
        <v>134335</v>
      </c>
      <c r="L23" s="449" t="s">
        <v>613</v>
      </c>
      <c r="M23" s="450" t="s">
        <v>707</v>
      </c>
      <c r="N23" s="219" t="s">
        <v>509</v>
      </c>
      <c r="O23" s="24"/>
    </row>
    <row r="24" spans="1:18" ht="30" customHeight="1" x14ac:dyDescent="0.35">
      <c r="A24" s="238">
        <v>22</v>
      </c>
      <c r="B24" s="219" t="s">
        <v>510</v>
      </c>
      <c r="C24" s="216">
        <v>35000</v>
      </c>
      <c r="D24" s="217">
        <f t="shared" si="0"/>
        <v>3045000</v>
      </c>
      <c r="E24" s="379"/>
      <c r="F24" s="216"/>
      <c r="G24" s="217">
        <v>9700000</v>
      </c>
      <c r="H24" s="216"/>
      <c r="I24" s="216"/>
      <c r="J24" s="216">
        <f t="shared" si="1"/>
        <v>111453</v>
      </c>
      <c r="K24" s="216">
        <f t="shared" si="2"/>
        <v>-76453</v>
      </c>
      <c r="L24" s="217" t="s">
        <v>909</v>
      </c>
      <c r="M24" s="217" t="s">
        <v>910</v>
      </c>
      <c r="N24" s="219" t="s">
        <v>321</v>
      </c>
    </row>
    <row r="25" spans="1:18" ht="30" customHeight="1" x14ac:dyDescent="0.35">
      <c r="A25" s="238">
        <v>23</v>
      </c>
      <c r="B25" s="219" t="s">
        <v>277</v>
      </c>
      <c r="C25" s="216">
        <v>35000</v>
      </c>
      <c r="D25" s="217">
        <f t="shared" si="0"/>
        <v>3045000</v>
      </c>
      <c r="E25" s="379"/>
      <c r="F25" s="216"/>
      <c r="G25" s="217"/>
      <c r="H25" s="216"/>
      <c r="I25" s="216"/>
      <c r="J25" s="216">
        <f t="shared" si="1"/>
        <v>0</v>
      </c>
      <c r="K25" s="216">
        <f t="shared" si="2"/>
        <v>35000</v>
      </c>
      <c r="L25" s="217"/>
      <c r="M25" s="217"/>
      <c r="N25" s="219" t="s">
        <v>320</v>
      </c>
    </row>
    <row r="26" spans="1:18" ht="30" customHeight="1" x14ac:dyDescent="0.35">
      <c r="A26" s="238">
        <v>24</v>
      </c>
      <c r="B26" s="219" t="s">
        <v>99</v>
      </c>
      <c r="C26" s="221">
        <v>1500000</v>
      </c>
      <c r="D26" s="217">
        <f t="shared" si="0"/>
        <v>130500000</v>
      </c>
      <c r="E26" s="379"/>
      <c r="F26" s="216"/>
      <c r="G26" s="217"/>
      <c r="H26" s="216">
        <f>235000+948000</f>
        <v>1183000</v>
      </c>
      <c r="I26" s="216"/>
      <c r="J26" s="216">
        <f t="shared" si="1"/>
        <v>1183000</v>
      </c>
      <c r="K26" s="216">
        <f t="shared" si="2"/>
        <v>317000</v>
      </c>
      <c r="L26" s="217" t="s">
        <v>616</v>
      </c>
      <c r="M26" s="217" t="s">
        <v>617</v>
      </c>
      <c r="N26" s="222" t="s">
        <v>326</v>
      </c>
      <c r="O26" s="63"/>
      <c r="P26" s="64"/>
      <c r="Q26" s="65"/>
      <c r="R26" s="55"/>
    </row>
    <row r="27" spans="1:18" ht="77.25" customHeight="1" x14ac:dyDescent="0.35">
      <c r="A27" s="238">
        <v>25</v>
      </c>
      <c r="B27" s="219" t="s">
        <v>355</v>
      </c>
      <c r="C27" s="223">
        <v>500000</v>
      </c>
      <c r="D27" s="217">
        <f>C27*87</f>
        <v>43500000</v>
      </c>
      <c r="E27" s="379">
        <f>9224.5+8550</f>
        <v>17774.5</v>
      </c>
      <c r="F27" s="216"/>
      <c r="G27" s="217"/>
      <c r="H27" s="216">
        <v>22856</v>
      </c>
      <c r="I27" s="216"/>
      <c r="J27" s="216">
        <f t="shared" si="1"/>
        <v>27655.115000000002</v>
      </c>
      <c r="K27" s="216">
        <f t="shared" si="2"/>
        <v>472344.88500000001</v>
      </c>
      <c r="L27" s="449" t="s">
        <v>879</v>
      </c>
      <c r="M27" s="450" t="s">
        <v>880</v>
      </c>
      <c r="N27" s="224" t="s">
        <v>13</v>
      </c>
    </row>
    <row r="28" spans="1:18" ht="45.65" customHeight="1" x14ac:dyDescent="0.35">
      <c r="A28" s="238">
        <v>26</v>
      </c>
      <c r="B28" s="219" t="s">
        <v>424</v>
      </c>
      <c r="C28" s="223">
        <v>100000</v>
      </c>
      <c r="D28" s="217">
        <f>C28*87</f>
        <v>8700000</v>
      </c>
      <c r="E28" s="379"/>
      <c r="F28" s="216">
        <v>672</v>
      </c>
      <c r="G28" s="459">
        <f>2118975.85+6581022</f>
        <v>8699997.8499999996</v>
      </c>
      <c r="H28" s="216"/>
      <c r="I28" s="216"/>
      <c r="J28" s="216">
        <f t="shared" si="1"/>
        <v>100634.97529649999</v>
      </c>
      <c r="K28" s="216">
        <f t="shared" si="2"/>
        <v>-634.97529649999342</v>
      </c>
      <c r="L28" s="450" t="s">
        <v>725</v>
      </c>
      <c r="M28" s="450" t="s">
        <v>726</v>
      </c>
      <c r="N28" s="218" t="s">
        <v>13</v>
      </c>
    </row>
    <row r="29" spans="1:18" ht="43.5" customHeight="1" x14ac:dyDescent="0.35">
      <c r="A29" s="238">
        <v>27</v>
      </c>
      <c r="B29" s="219" t="s">
        <v>453</v>
      </c>
      <c r="C29" s="223">
        <v>70000</v>
      </c>
      <c r="D29" s="217">
        <f>C29*87</f>
        <v>6090000</v>
      </c>
      <c r="E29" s="379"/>
      <c r="F29" s="216"/>
      <c r="G29" s="459">
        <f>458640+2111230</f>
        <v>2569870</v>
      </c>
      <c r="H29" s="216">
        <v>33714</v>
      </c>
      <c r="I29" s="216"/>
      <c r="J29" s="216">
        <f t="shared" si="1"/>
        <v>63241.806299999997</v>
      </c>
      <c r="K29" s="216">
        <f t="shared" si="2"/>
        <v>6758.1937000000034</v>
      </c>
      <c r="L29" s="450" t="s">
        <v>762</v>
      </c>
      <c r="M29" s="217" t="s">
        <v>763</v>
      </c>
      <c r="N29" s="218" t="s">
        <v>13</v>
      </c>
    </row>
    <row r="30" spans="1:18" ht="52" customHeight="1" x14ac:dyDescent="0.35">
      <c r="A30" s="238">
        <v>28</v>
      </c>
      <c r="B30" s="219" t="s">
        <v>544</v>
      </c>
      <c r="C30" s="223">
        <v>150000</v>
      </c>
      <c r="D30" s="217">
        <f>C30*87</f>
        <v>13050000</v>
      </c>
      <c r="E30" s="379"/>
      <c r="F30" s="216"/>
      <c r="G30" s="217"/>
      <c r="H30" s="216">
        <v>91477</v>
      </c>
      <c r="I30" s="216"/>
      <c r="J30" s="216">
        <f t="shared" si="1"/>
        <v>91477</v>
      </c>
      <c r="K30" s="216">
        <f t="shared" si="2"/>
        <v>58523</v>
      </c>
      <c r="L30" s="217" t="s">
        <v>708</v>
      </c>
      <c r="M30" s="217" t="s">
        <v>710</v>
      </c>
      <c r="N30" s="218" t="s">
        <v>13</v>
      </c>
    </row>
    <row r="31" spans="1:18" ht="30" customHeight="1" x14ac:dyDescent="0.35">
      <c r="A31" s="238">
        <v>29</v>
      </c>
      <c r="B31" s="219" t="s">
        <v>425</v>
      </c>
      <c r="C31" s="225"/>
      <c r="D31" s="217">
        <f>'Ann VI-Drill'!F27*87</f>
        <v>208800</v>
      </c>
      <c r="E31" s="379"/>
      <c r="F31" s="216"/>
      <c r="G31" s="217"/>
      <c r="H31" s="216">
        <v>2377</v>
      </c>
      <c r="I31" s="216"/>
      <c r="J31" s="216">
        <f t="shared" si="1"/>
        <v>2377</v>
      </c>
      <c r="K31" s="216">
        <f t="shared" si="2"/>
        <v>-2377</v>
      </c>
      <c r="L31" s="217" t="s">
        <v>709</v>
      </c>
      <c r="M31" s="217" t="s">
        <v>711</v>
      </c>
      <c r="N31" s="224" t="s">
        <v>516</v>
      </c>
    </row>
    <row r="32" spans="1:18" ht="30" customHeight="1" x14ac:dyDescent="0.35">
      <c r="A32" s="238">
        <v>30</v>
      </c>
      <c r="B32" s="219" t="s">
        <v>426</v>
      </c>
      <c r="C32" s="223">
        <v>175000</v>
      </c>
      <c r="D32" s="217">
        <f t="shared" ref="D32:D48" si="3">C32*87</f>
        <v>15225000</v>
      </c>
      <c r="E32" s="379"/>
      <c r="F32" s="216"/>
      <c r="G32" s="217"/>
      <c r="H32" s="216">
        <v>156000</v>
      </c>
      <c r="I32" s="216"/>
      <c r="J32" s="216">
        <f t="shared" si="1"/>
        <v>156000</v>
      </c>
      <c r="K32" s="216">
        <f t="shared" si="2"/>
        <v>19000</v>
      </c>
      <c r="L32" s="217" t="s">
        <v>611</v>
      </c>
      <c r="M32" s="217" t="s">
        <v>612</v>
      </c>
      <c r="N32" s="218" t="s">
        <v>13</v>
      </c>
    </row>
    <row r="33" spans="1:14" ht="30" customHeight="1" x14ac:dyDescent="0.35">
      <c r="A33" s="238">
        <v>31</v>
      </c>
      <c r="B33" s="219" t="s">
        <v>445</v>
      </c>
      <c r="C33" s="223">
        <v>2000</v>
      </c>
      <c r="D33" s="217">
        <f t="shared" si="3"/>
        <v>174000</v>
      </c>
      <c r="E33" s="379"/>
      <c r="F33" s="216"/>
      <c r="G33" s="217">
        <v>799001</v>
      </c>
      <c r="H33" s="216"/>
      <c r="I33" s="216"/>
      <c r="J33" s="216">
        <f t="shared" si="1"/>
        <v>9180.521490000001</v>
      </c>
      <c r="K33" s="216">
        <f t="shared" si="2"/>
        <v>-7180.521490000001</v>
      </c>
      <c r="L33" s="217" t="s">
        <v>757</v>
      </c>
      <c r="M33" s="217" t="s">
        <v>758</v>
      </c>
      <c r="N33" s="218" t="s">
        <v>13</v>
      </c>
    </row>
    <row r="34" spans="1:14" ht="30" customHeight="1" x14ac:dyDescent="0.35">
      <c r="A34" s="238">
        <v>32</v>
      </c>
      <c r="B34" s="219" t="s">
        <v>427</v>
      </c>
      <c r="C34" s="223">
        <v>5000</v>
      </c>
      <c r="D34" s="217">
        <f t="shared" si="3"/>
        <v>435000</v>
      </c>
      <c r="E34" s="379"/>
      <c r="F34" s="216">
        <v>9685</v>
      </c>
      <c r="G34" s="217"/>
      <c r="H34" s="216"/>
      <c r="I34" s="216"/>
      <c r="J34" s="216">
        <f t="shared" si="1"/>
        <v>9685</v>
      </c>
      <c r="K34" s="216">
        <f t="shared" si="2"/>
        <v>-4685</v>
      </c>
      <c r="L34" s="217" t="s">
        <v>591</v>
      </c>
      <c r="M34" s="217" t="s">
        <v>592</v>
      </c>
      <c r="N34" s="218" t="s">
        <v>13</v>
      </c>
    </row>
    <row r="35" spans="1:14" ht="30" customHeight="1" x14ac:dyDescent="0.35">
      <c r="A35" s="238">
        <v>34</v>
      </c>
      <c r="B35" s="219" t="s">
        <v>434</v>
      </c>
      <c r="C35" s="223">
        <v>12000</v>
      </c>
      <c r="D35" s="217">
        <f t="shared" si="3"/>
        <v>1044000</v>
      </c>
      <c r="E35" s="379"/>
      <c r="F35" s="216"/>
      <c r="G35" s="217">
        <v>450000</v>
      </c>
      <c r="H35" s="216"/>
      <c r="I35" s="216"/>
      <c r="J35" s="216">
        <f t="shared" si="1"/>
        <v>5170.5</v>
      </c>
      <c r="K35" s="216">
        <f t="shared" si="2"/>
        <v>6829.5</v>
      </c>
      <c r="L35" s="217" t="s">
        <v>682</v>
      </c>
      <c r="M35" s="217" t="s">
        <v>681</v>
      </c>
      <c r="N35" s="218" t="s">
        <v>13</v>
      </c>
    </row>
    <row r="36" spans="1:14" ht="30" customHeight="1" x14ac:dyDescent="0.35">
      <c r="A36" s="238">
        <v>35</v>
      </c>
      <c r="B36" s="219" t="s">
        <v>431</v>
      </c>
      <c r="C36" s="223">
        <v>45000</v>
      </c>
      <c r="D36" s="217">
        <f t="shared" si="3"/>
        <v>3915000</v>
      </c>
      <c r="E36" s="379"/>
      <c r="F36" s="216"/>
      <c r="G36" s="217"/>
      <c r="H36" s="216">
        <v>24912.36</v>
      </c>
      <c r="I36" s="216"/>
      <c r="J36" s="216">
        <f t="shared" si="1"/>
        <v>24912.36</v>
      </c>
      <c r="K36" s="216">
        <f t="shared" si="2"/>
        <v>20087.64</v>
      </c>
      <c r="L36" s="217" t="s">
        <v>607</v>
      </c>
      <c r="M36" s="217" t="s">
        <v>608</v>
      </c>
      <c r="N36" s="224" t="s">
        <v>543</v>
      </c>
    </row>
    <row r="37" spans="1:14" ht="30" customHeight="1" x14ac:dyDescent="0.35">
      <c r="A37" s="238">
        <v>36</v>
      </c>
      <c r="B37" s="219" t="s">
        <v>435</v>
      </c>
      <c r="C37" s="223"/>
      <c r="D37" s="217">
        <f t="shared" si="3"/>
        <v>0</v>
      </c>
      <c r="E37" s="379"/>
      <c r="F37" s="216"/>
      <c r="G37" s="217"/>
      <c r="H37" s="216"/>
      <c r="I37" s="216"/>
      <c r="J37" s="216">
        <f t="shared" si="1"/>
        <v>0</v>
      </c>
      <c r="K37" s="216"/>
      <c r="L37" s="217"/>
      <c r="M37" s="217"/>
      <c r="N37" s="219" t="s">
        <v>481</v>
      </c>
    </row>
    <row r="38" spans="1:14" ht="30" customHeight="1" x14ac:dyDescent="0.35">
      <c r="A38" s="238">
        <v>37</v>
      </c>
      <c r="B38" s="219" t="s">
        <v>436</v>
      </c>
      <c r="C38" s="223"/>
      <c r="D38" s="217">
        <f t="shared" si="3"/>
        <v>0</v>
      </c>
      <c r="E38" s="379"/>
      <c r="F38" s="216"/>
      <c r="G38" s="217"/>
      <c r="H38" s="216"/>
      <c r="I38" s="216"/>
      <c r="J38" s="216">
        <f t="shared" si="1"/>
        <v>0</v>
      </c>
      <c r="K38" s="216"/>
      <c r="L38" s="217"/>
      <c r="M38" s="217"/>
      <c r="N38" s="219" t="s">
        <v>481</v>
      </c>
    </row>
    <row r="39" spans="1:14" ht="87" x14ac:dyDescent="0.35">
      <c r="A39" s="238">
        <v>38</v>
      </c>
      <c r="B39" s="219" t="s">
        <v>432</v>
      </c>
      <c r="C39" s="223"/>
      <c r="D39" s="217">
        <f t="shared" si="3"/>
        <v>0</v>
      </c>
      <c r="E39" s="379"/>
      <c r="F39" s="216"/>
      <c r="G39" s="217"/>
      <c r="H39" s="216"/>
      <c r="I39" s="216"/>
      <c r="J39" s="216">
        <f t="shared" si="1"/>
        <v>0</v>
      </c>
      <c r="K39" s="216"/>
      <c r="L39" s="217"/>
      <c r="M39" s="217"/>
      <c r="N39" s="219" t="s">
        <v>481</v>
      </c>
    </row>
    <row r="40" spans="1:14" ht="42.75" customHeight="1" x14ac:dyDescent="0.35">
      <c r="A40" s="238">
        <v>39</v>
      </c>
      <c r="B40" s="219" t="s">
        <v>437</v>
      </c>
      <c r="C40" s="223">
        <v>10000</v>
      </c>
      <c r="D40" s="217">
        <f t="shared" si="3"/>
        <v>870000</v>
      </c>
      <c r="E40" s="379"/>
      <c r="F40" s="216"/>
      <c r="G40" s="217"/>
      <c r="H40" s="216"/>
      <c r="I40" s="216"/>
      <c r="J40" s="216">
        <f t="shared" si="1"/>
        <v>0</v>
      </c>
      <c r="K40" s="216">
        <f t="shared" si="2"/>
        <v>10000</v>
      </c>
      <c r="L40" s="217"/>
      <c r="M40" s="217"/>
      <c r="N40" s="224" t="s">
        <v>13</v>
      </c>
    </row>
    <row r="41" spans="1:14" ht="39" customHeight="1" x14ac:dyDescent="0.35">
      <c r="A41" s="238">
        <v>40</v>
      </c>
      <c r="B41" s="219" t="s">
        <v>441</v>
      </c>
      <c r="C41" s="223">
        <v>78840</v>
      </c>
      <c r="D41" s="217">
        <f t="shared" si="3"/>
        <v>6859080</v>
      </c>
      <c r="E41" s="379"/>
      <c r="F41" s="216"/>
      <c r="G41" s="217"/>
      <c r="H41" s="216">
        <v>0</v>
      </c>
      <c r="I41" s="216"/>
      <c r="J41" s="216">
        <f t="shared" si="1"/>
        <v>0</v>
      </c>
      <c r="K41" s="216">
        <f t="shared" si="2"/>
        <v>78840</v>
      </c>
      <c r="L41" s="217" t="s">
        <v>712</v>
      </c>
      <c r="M41" s="337" t="s">
        <v>735</v>
      </c>
      <c r="N41" s="224" t="s">
        <v>13</v>
      </c>
    </row>
    <row r="42" spans="1:14" ht="31.5" customHeight="1" x14ac:dyDescent="0.35">
      <c r="A42" s="238">
        <v>41</v>
      </c>
      <c r="B42" s="219" t="s">
        <v>438</v>
      </c>
      <c r="C42" s="223">
        <v>8000</v>
      </c>
      <c r="D42" s="217">
        <f t="shared" si="3"/>
        <v>696000</v>
      </c>
      <c r="E42" s="379"/>
      <c r="F42" s="216"/>
      <c r="G42" s="217">
        <v>238300</v>
      </c>
      <c r="H42" s="216"/>
      <c r="I42" s="216"/>
      <c r="J42" s="216">
        <f t="shared" si="1"/>
        <v>2738.067</v>
      </c>
      <c r="K42" s="216">
        <f t="shared" si="2"/>
        <v>5261.933</v>
      </c>
      <c r="L42" s="217" t="s">
        <v>693</v>
      </c>
      <c r="M42" s="217" t="s">
        <v>692</v>
      </c>
      <c r="N42" s="224" t="s">
        <v>13</v>
      </c>
    </row>
    <row r="43" spans="1:14" ht="25" customHeight="1" x14ac:dyDescent="0.35">
      <c r="A43" s="238">
        <v>42</v>
      </c>
      <c r="B43" s="219" t="s">
        <v>433</v>
      </c>
      <c r="C43" s="223">
        <v>4000</v>
      </c>
      <c r="D43" s="217">
        <f t="shared" si="3"/>
        <v>348000</v>
      </c>
      <c r="E43" s="379"/>
      <c r="F43" s="216"/>
      <c r="G43" s="217"/>
      <c r="H43" s="216"/>
      <c r="I43" s="216"/>
      <c r="J43" s="216">
        <f t="shared" si="1"/>
        <v>0</v>
      </c>
      <c r="K43" s="216">
        <f t="shared" si="2"/>
        <v>4000</v>
      </c>
      <c r="L43" s="217"/>
      <c r="M43" s="217"/>
      <c r="N43" s="224" t="s">
        <v>13</v>
      </c>
    </row>
    <row r="44" spans="1:14" ht="25" customHeight="1" x14ac:dyDescent="0.35">
      <c r="A44" s="238">
        <v>43</v>
      </c>
      <c r="B44" s="219" t="s">
        <v>440</v>
      </c>
      <c r="C44" s="223">
        <v>3000</v>
      </c>
      <c r="D44" s="217">
        <f t="shared" si="3"/>
        <v>261000</v>
      </c>
      <c r="E44" s="379"/>
      <c r="F44" s="216"/>
      <c r="G44" s="217"/>
      <c r="H44" s="216">
        <v>7994</v>
      </c>
      <c r="I44" s="216"/>
      <c r="J44" s="216">
        <f t="shared" si="1"/>
        <v>7994</v>
      </c>
      <c r="K44" s="216">
        <f t="shared" si="2"/>
        <v>-4994</v>
      </c>
      <c r="L44" s="217" t="s">
        <v>603</v>
      </c>
      <c r="M44" s="217" t="s">
        <v>604</v>
      </c>
      <c r="N44" s="224" t="s">
        <v>13</v>
      </c>
    </row>
    <row r="45" spans="1:14" ht="25" customHeight="1" x14ac:dyDescent="0.35">
      <c r="A45" s="238">
        <v>44</v>
      </c>
      <c r="B45" s="219" t="s">
        <v>472</v>
      </c>
      <c r="C45" s="223">
        <v>4000</v>
      </c>
      <c r="D45" s="217">
        <f t="shared" si="3"/>
        <v>348000</v>
      </c>
      <c r="E45" s="379"/>
      <c r="F45" s="216"/>
      <c r="G45" s="217"/>
      <c r="H45" s="216">
        <v>5328</v>
      </c>
      <c r="I45" s="216"/>
      <c r="J45" s="216">
        <f t="shared" si="1"/>
        <v>5328</v>
      </c>
      <c r="K45" s="216">
        <f t="shared" si="2"/>
        <v>-1328</v>
      </c>
      <c r="L45" s="217" t="s">
        <v>605</v>
      </c>
      <c r="M45" s="217" t="s">
        <v>606</v>
      </c>
      <c r="N45" s="224" t="s">
        <v>13</v>
      </c>
    </row>
    <row r="46" spans="1:14" ht="25" customHeight="1" x14ac:dyDescent="0.35">
      <c r="A46" s="238">
        <v>45</v>
      </c>
      <c r="B46" s="219" t="s">
        <v>439</v>
      </c>
      <c r="C46" s="223">
        <v>20000</v>
      </c>
      <c r="D46" s="217">
        <f t="shared" si="3"/>
        <v>1740000</v>
      </c>
      <c r="E46" s="379"/>
      <c r="F46" s="216"/>
      <c r="G46" s="217"/>
      <c r="H46" s="216">
        <v>15184</v>
      </c>
      <c r="I46" s="216"/>
      <c r="J46" s="216">
        <f t="shared" si="1"/>
        <v>15184</v>
      </c>
      <c r="K46" s="216">
        <f t="shared" si="2"/>
        <v>4816</v>
      </c>
      <c r="L46" s="217" t="s">
        <v>601</v>
      </c>
      <c r="M46" s="217" t="s">
        <v>602</v>
      </c>
      <c r="N46" s="224" t="s">
        <v>13</v>
      </c>
    </row>
    <row r="47" spans="1:14" ht="25" customHeight="1" x14ac:dyDescent="0.35">
      <c r="A47" s="238">
        <v>46</v>
      </c>
      <c r="B47" s="219" t="s">
        <v>429</v>
      </c>
      <c r="C47" s="223">
        <v>100000</v>
      </c>
      <c r="D47" s="217">
        <f t="shared" si="3"/>
        <v>8700000</v>
      </c>
      <c r="E47" s="379"/>
      <c r="F47" s="216"/>
      <c r="G47" s="217"/>
      <c r="H47" s="216">
        <v>104470</v>
      </c>
      <c r="I47" s="216"/>
      <c r="J47" s="216">
        <f t="shared" si="1"/>
        <v>104470</v>
      </c>
      <c r="K47" s="216">
        <f t="shared" si="2"/>
        <v>-4470</v>
      </c>
      <c r="L47" s="217" t="s">
        <v>620</v>
      </c>
      <c r="M47" s="217" t="s">
        <v>621</v>
      </c>
      <c r="N47" s="224" t="s">
        <v>13</v>
      </c>
    </row>
    <row r="48" spans="1:14" ht="25" customHeight="1" x14ac:dyDescent="0.35">
      <c r="A48" s="238">
        <v>47</v>
      </c>
      <c r="B48" s="219" t="s">
        <v>279</v>
      </c>
      <c r="C48" s="223">
        <v>40000</v>
      </c>
      <c r="D48" s="217">
        <f t="shared" si="3"/>
        <v>3480000</v>
      </c>
      <c r="E48" s="379"/>
      <c r="F48" s="216"/>
      <c r="G48" s="217"/>
      <c r="H48" s="216">
        <v>44998.31</v>
      </c>
      <c r="I48" s="216"/>
      <c r="J48" s="216">
        <f t="shared" si="1"/>
        <v>44998.31</v>
      </c>
      <c r="K48" s="216">
        <f t="shared" si="2"/>
        <v>-4998.3099999999977</v>
      </c>
      <c r="L48" s="217" t="s">
        <v>618</v>
      </c>
      <c r="M48" s="217" t="s">
        <v>619</v>
      </c>
      <c r="N48" s="224" t="s">
        <v>13</v>
      </c>
    </row>
    <row r="49" spans="1:14" ht="36" customHeight="1" x14ac:dyDescent="0.35">
      <c r="A49" s="701" t="s">
        <v>15</v>
      </c>
      <c r="B49" s="702"/>
      <c r="C49" s="226">
        <f>SUM(C3:C48)</f>
        <v>4946840</v>
      </c>
      <c r="D49" s="227">
        <f>SUM(D3:D48)</f>
        <v>430583880</v>
      </c>
      <c r="E49" s="380"/>
      <c r="F49" s="226"/>
      <c r="G49" s="467"/>
      <c r="H49" s="226"/>
      <c r="I49" s="226">
        <f>SUM(I3:I48)</f>
        <v>0</v>
      </c>
      <c r="J49" s="226">
        <f>SUM(J3:J48)</f>
        <v>3498986.6248565</v>
      </c>
      <c r="K49" s="226">
        <f>C49-J49</f>
        <v>1447853.3751435</v>
      </c>
      <c r="L49" s="227"/>
      <c r="M49" s="227"/>
      <c r="N49" s="227"/>
    </row>
    <row r="50" spans="1:14" x14ac:dyDescent="0.35">
      <c r="A50" s="703"/>
      <c r="B50" s="704"/>
      <c r="C50" s="228"/>
      <c r="D50" s="230"/>
      <c r="E50" s="381"/>
      <c r="F50" s="431"/>
      <c r="G50" s="469"/>
      <c r="H50" s="431"/>
      <c r="I50" s="431"/>
      <c r="J50" s="431"/>
      <c r="K50" s="431"/>
      <c r="L50" s="230"/>
      <c r="M50" s="230"/>
      <c r="N50" s="230"/>
    </row>
    <row r="51" spans="1:14" x14ac:dyDescent="0.35">
      <c r="A51" s="705" t="s">
        <v>342</v>
      </c>
      <c r="B51" s="706"/>
      <c r="C51" s="706"/>
      <c r="D51" s="706"/>
      <c r="E51" s="706"/>
      <c r="F51" s="706"/>
      <c r="G51" s="706"/>
      <c r="H51" s="706"/>
      <c r="I51" s="706"/>
      <c r="J51" s="706"/>
      <c r="K51" s="706"/>
      <c r="L51" s="706"/>
      <c r="M51" s="706"/>
      <c r="N51" s="706"/>
    </row>
    <row r="52" spans="1:14" x14ac:dyDescent="0.35">
      <c r="A52" s="706"/>
      <c r="B52" s="706"/>
      <c r="C52" s="706"/>
      <c r="D52" s="706"/>
      <c r="E52" s="706"/>
      <c r="F52" s="706"/>
      <c r="G52" s="706"/>
      <c r="H52" s="706"/>
      <c r="I52" s="706"/>
      <c r="J52" s="706"/>
      <c r="K52" s="706"/>
      <c r="L52" s="706"/>
      <c r="M52" s="706"/>
      <c r="N52" s="706"/>
    </row>
    <row r="53" spans="1:14" ht="15.5" x14ac:dyDescent="0.35">
      <c r="A53" s="60"/>
      <c r="C53" s="231"/>
      <c r="D53" s="232"/>
      <c r="E53" s="382"/>
      <c r="F53" s="432"/>
      <c r="G53" s="470"/>
      <c r="H53" s="432"/>
      <c r="I53" s="432"/>
      <c r="J53" s="432"/>
      <c r="K53" s="432"/>
      <c r="L53" s="232"/>
      <c r="M53" s="232"/>
      <c r="N53" s="232"/>
    </row>
    <row r="54" spans="1:14" x14ac:dyDescent="0.35">
      <c r="A54" s="60"/>
      <c r="C54" s="231"/>
      <c r="D54" s="210"/>
      <c r="E54" s="359"/>
      <c r="F54" s="255"/>
      <c r="G54" s="471"/>
      <c r="H54" s="255"/>
      <c r="I54" s="255"/>
      <c r="J54" s="255"/>
      <c r="K54" s="255"/>
      <c r="L54" s="210"/>
      <c r="M54" s="210"/>
      <c r="N54" s="210"/>
    </row>
    <row r="55" spans="1:14" x14ac:dyDescent="0.35">
      <c r="A55" s="60"/>
      <c r="C55" s="231"/>
      <c r="D55" s="210"/>
      <c r="E55" s="359"/>
      <c r="F55" s="255"/>
      <c r="G55" s="471"/>
      <c r="H55" s="255"/>
      <c r="I55" s="255"/>
      <c r="J55" s="255"/>
      <c r="K55" s="255"/>
      <c r="L55" s="210"/>
      <c r="M55" s="210"/>
      <c r="N55" s="210"/>
    </row>
    <row r="56" spans="1:14" x14ac:dyDescent="0.35">
      <c r="A56" s="60"/>
      <c r="C56" s="231"/>
      <c r="D56" s="210"/>
      <c r="E56" s="359"/>
      <c r="F56" s="255"/>
      <c r="G56" s="471"/>
      <c r="H56" s="255"/>
      <c r="I56" s="255"/>
      <c r="J56" s="255"/>
      <c r="K56" s="255"/>
      <c r="L56" s="210"/>
      <c r="M56" s="210"/>
      <c r="N56" s="210"/>
    </row>
    <row r="57" spans="1:14" x14ac:dyDescent="0.35">
      <c r="A57" s="697"/>
      <c r="B57" s="697"/>
      <c r="C57" s="231"/>
      <c r="D57" s="229"/>
      <c r="E57" s="383"/>
      <c r="F57" s="228"/>
      <c r="G57" s="472"/>
      <c r="H57" s="228"/>
      <c r="I57" s="228"/>
      <c r="J57" s="228"/>
      <c r="K57" s="228"/>
      <c r="L57" s="229"/>
      <c r="M57" s="229"/>
      <c r="N57" s="229"/>
    </row>
    <row r="58" spans="1:14" x14ac:dyDescent="0.35">
      <c r="A58" s="697"/>
      <c r="B58" s="697"/>
      <c r="C58" s="231"/>
      <c r="D58" s="229"/>
      <c r="E58" s="383"/>
      <c r="F58" s="228"/>
      <c r="G58" s="472"/>
      <c r="H58" s="228"/>
      <c r="I58" s="228"/>
      <c r="J58" s="228"/>
      <c r="K58" s="228"/>
      <c r="L58" s="229"/>
      <c r="M58" s="229"/>
      <c r="N58" s="229"/>
    </row>
    <row r="59" spans="1:14" x14ac:dyDescent="0.35">
      <c r="A59" s="697"/>
      <c r="B59" s="697"/>
      <c r="C59" s="231"/>
      <c r="D59" s="229"/>
      <c r="E59" s="383"/>
      <c r="F59" s="228"/>
      <c r="G59" s="472"/>
      <c r="H59" s="228"/>
      <c r="I59" s="228"/>
      <c r="J59" s="228"/>
      <c r="K59" s="228"/>
      <c r="L59" s="229"/>
      <c r="M59" s="229"/>
      <c r="N59" s="229"/>
    </row>
    <row r="60" spans="1:14" x14ac:dyDescent="0.35">
      <c r="A60" s="697"/>
      <c r="B60" s="697"/>
      <c r="C60" s="231"/>
      <c r="D60" s="229"/>
      <c r="E60" s="383"/>
      <c r="F60" s="228"/>
      <c r="G60" s="472"/>
      <c r="H60" s="228"/>
      <c r="I60" s="228"/>
      <c r="J60" s="228"/>
      <c r="K60" s="228"/>
      <c r="L60" s="229"/>
      <c r="M60" s="229"/>
      <c r="N60" s="229"/>
    </row>
  </sheetData>
  <mergeCells count="8">
    <mergeCell ref="A59:B59"/>
    <mergeCell ref="A60:B60"/>
    <mergeCell ref="B1:N1"/>
    <mergeCell ref="A49:B49"/>
    <mergeCell ref="A50:B50"/>
    <mergeCell ref="A57:B57"/>
    <mergeCell ref="A58:B58"/>
    <mergeCell ref="A51:N52"/>
  </mergeCells>
  <conditionalFormatting sqref="K3:K48">
    <cfRule type="cellIs" dxfId="3" priority="1" operator="lessThan">
      <formula>0</formula>
    </cfRule>
    <cfRule type="cellIs" dxfId="2" priority="2" operator="greaterThan">
      <formula>0</formula>
    </cfRule>
  </conditionalFormatting>
  <pageMargins left="0.7" right="0.7" top="0.75" bottom="0.75" header="0.3" footer="0.3"/>
  <pageSetup paperSize="9" scale="9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6"/>
  <sheetViews>
    <sheetView topLeftCell="A13" workbookViewId="0">
      <selection activeCell="G5" sqref="G5"/>
    </sheetView>
  </sheetViews>
  <sheetFormatPr defaultColWidth="9.1796875" defaultRowHeight="14.5" x14ac:dyDescent="0.35"/>
  <cols>
    <col min="1" max="1" width="9.1796875" style="9"/>
    <col min="2" max="2" width="41" style="210" customWidth="1"/>
    <col min="3" max="3" width="12.81640625" style="55" customWidth="1"/>
    <col min="4" max="4" width="24.7265625" style="209" customWidth="1"/>
    <col min="5" max="5" width="17.26953125" style="598" customWidth="1"/>
    <col min="6" max="6" width="17.1796875" style="565" customWidth="1"/>
    <col min="7" max="9" width="17" style="55" customWidth="1"/>
    <col min="10" max="10" width="21.54296875" style="55" customWidth="1"/>
    <col min="11" max="11" width="23.453125" style="55" customWidth="1"/>
    <col min="12" max="12" width="51.7265625" style="9" customWidth="1"/>
    <col min="13" max="16384" width="9.1796875" style="9"/>
  </cols>
  <sheetData>
    <row r="1" spans="1:12" ht="28.5" customHeight="1" thickBot="1" x14ac:dyDescent="0.4">
      <c r="A1" s="707" t="s">
        <v>463</v>
      </c>
      <c r="B1" s="708"/>
      <c r="C1" s="708"/>
      <c r="D1" s="708"/>
      <c r="E1" s="708"/>
      <c r="F1" s="708"/>
      <c r="G1" s="708"/>
      <c r="H1" s="708"/>
      <c r="I1" s="708"/>
      <c r="J1" s="708"/>
      <c r="K1" s="708"/>
      <c r="L1" s="709"/>
    </row>
    <row r="2" spans="1:12" ht="25" customHeight="1" x14ac:dyDescent="0.35">
      <c r="A2" s="211" t="s">
        <v>28</v>
      </c>
      <c r="B2" s="213" t="s">
        <v>245</v>
      </c>
      <c r="C2" s="239" t="s">
        <v>470</v>
      </c>
      <c r="D2" s="239" t="s">
        <v>471</v>
      </c>
      <c r="E2" s="596" t="s">
        <v>246</v>
      </c>
      <c r="F2" s="563" t="s">
        <v>742</v>
      </c>
      <c r="G2" s="456" t="s">
        <v>657</v>
      </c>
      <c r="H2" s="239" t="s">
        <v>718</v>
      </c>
      <c r="I2" s="437" t="s">
        <v>721</v>
      </c>
      <c r="J2" s="456" t="s">
        <v>555</v>
      </c>
      <c r="K2" s="456" t="s">
        <v>526</v>
      </c>
      <c r="L2" s="212" t="s">
        <v>6</v>
      </c>
    </row>
    <row r="3" spans="1:12" ht="281.25" customHeight="1" x14ac:dyDescent="0.35">
      <c r="A3" s="7">
        <v>1</v>
      </c>
      <c r="B3" s="205" t="s">
        <v>455</v>
      </c>
      <c r="C3" s="56">
        <v>130000</v>
      </c>
      <c r="D3" s="206">
        <f>C3*87</f>
        <v>11310000</v>
      </c>
      <c r="E3" s="597">
        <v>197960</v>
      </c>
      <c r="F3" s="564">
        <f>6928+1675+2117+1048+4345+43500+1040+2342+3842+1202.71+1855+1820+1748+539+2295+579+2619</f>
        <v>79494.710000000006</v>
      </c>
      <c r="G3" s="56"/>
      <c r="H3" s="56">
        <f>E3*0.01149+F3*0.27+G3</f>
        <v>23738.132100000003</v>
      </c>
      <c r="I3" s="56">
        <f>C3-H3</f>
        <v>106261.8679</v>
      </c>
      <c r="J3" s="567" t="s">
        <v>901</v>
      </c>
      <c r="K3" s="566" t="s">
        <v>902</v>
      </c>
      <c r="L3" s="8" t="s">
        <v>13</v>
      </c>
    </row>
    <row r="4" spans="1:12" ht="25" customHeight="1" x14ac:dyDescent="0.35">
      <c r="A4" s="7">
        <v>2</v>
      </c>
      <c r="B4" s="205" t="s">
        <v>456</v>
      </c>
      <c r="C4" s="56">
        <v>65050</v>
      </c>
      <c r="D4" s="206">
        <f t="shared" ref="D4:D15" si="0">C4*87</f>
        <v>5659350</v>
      </c>
      <c r="E4" s="597"/>
      <c r="F4" s="564"/>
      <c r="G4" s="56">
        <f>15345+5053</f>
        <v>20398</v>
      </c>
      <c r="H4" s="56">
        <f t="shared" ref="H4:H19" si="1">E4*0.01149+F4*0.27+G4</f>
        <v>20398</v>
      </c>
      <c r="I4" s="56">
        <f t="shared" ref="I4:I19" si="2">C4-H4</f>
        <v>44652</v>
      </c>
      <c r="J4" s="607" t="s">
        <v>921</v>
      </c>
      <c r="K4" s="607" t="s">
        <v>922</v>
      </c>
      <c r="L4" s="7" t="s">
        <v>480</v>
      </c>
    </row>
    <row r="5" spans="1:12" ht="25" customHeight="1" x14ac:dyDescent="0.35">
      <c r="A5" s="7">
        <v>3</v>
      </c>
      <c r="B5" s="205" t="s">
        <v>457</v>
      </c>
      <c r="C5" s="56">
        <v>10000</v>
      </c>
      <c r="D5" s="206">
        <f t="shared" si="0"/>
        <v>870000</v>
      </c>
      <c r="E5" s="597"/>
      <c r="F5" s="564"/>
      <c r="G5" s="56"/>
      <c r="H5" s="56">
        <f t="shared" si="1"/>
        <v>0</v>
      </c>
      <c r="I5" s="56">
        <f t="shared" si="2"/>
        <v>10000</v>
      </c>
      <c r="J5" s="56"/>
      <c r="K5" s="56"/>
      <c r="L5" s="7" t="s">
        <v>511</v>
      </c>
    </row>
    <row r="6" spans="1:12" ht="25" customHeight="1" x14ac:dyDescent="0.35">
      <c r="A6" s="7">
        <v>4</v>
      </c>
      <c r="B6" s="205" t="s">
        <v>458</v>
      </c>
      <c r="C6" s="56">
        <v>10000</v>
      </c>
      <c r="D6" s="206">
        <f t="shared" si="0"/>
        <v>870000</v>
      </c>
      <c r="E6" s="597"/>
      <c r="F6" s="564"/>
      <c r="G6" s="56"/>
      <c r="H6" s="56">
        <f t="shared" si="1"/>
        <v>0</v>
      </c>
      <c r="I6" s="56">
        <f t="shared" si="2"/>
        <v>10000</v>
      </c>
      <c r="J6" s="56"/>
      <c r="K6" s="56"/>
      <c r="L6" s="8" t="s">
        <v>13</v>
      </c>
    </row>
    <row r="7" spans="1:12" ht="25" customHeight="1" x14ac:dyDescent="0.35">
      <c r="A7" s="7">
        <v>5</v>
      </c>
      <c r="B7" s="205" t="s">
        <v>459</v>
      </c>
      <c r="C7" s="56">
        <v>2000</v>
      </c>
      <c r="D7" s="206">
        <f t="shared" si="0"/>
        <v>174000</v>
      </c>
      <c r="E7" s="597"/>
      <c r="F7" s="564"/>
      <c r="G7" s="56"/>
      <c r="H7" s="56">
        <f t="shared" si="1"/>
        <v>0</v>
      </c>
      <c r="I7" s="56">
        <f t="shared" si="2"/>
        <v>2000</v>
      </c>
      <c r="J7" s="56"/>
      <c r="K7" s="56"/>
      <c r="L7" s="8" t="s">
        <v>13</v>
      </c>
    </row>
    <row r="8" spans="1:12" ht="25" customHeight="1" x14ac:dyDescent="0.35">
      <c r="A8" s="7">
        <v>6</v>
      </c>
      <c r="B8" s="205" t="s">
        <v>460</v>
      </c>
      <c r="C8" s="56">
        <v>10000</v>
      </c>
      <c r="D8" s="206">
        <f t="shared" si="0"/>
        <v>870000</v>
      </c>
      <c r="E8" s="597"/>
      <c r="F8" s="564"/>
      <c r="G8" s="56"/>
      <c r="H8" s="56">
        <f t="shared" si="1"/>
        <v>0</v>
      </c>
      <c r="I8" s="56">
        <f t="shared" si="2"/>
        <v>10000</v>
      </c>
      <c r="J8" s="56"/>
      <c r="K8" s="56"/>
      <c r="L8" s="7" t="s">
        <v>546</v>
      </c>
    </row>
    <row r="9" spans="1:12" ht="34.5" customHeight="1" x14ac:dyDescent="0.35">
      <c r="A9" s="7">
        <v>7</v>
      </c>
      <c r="B9" s="205" t="s">
        <v>512</v>
      </c>
      <c r="C9" s="56">
        <f>12250-3500</f>
        <v>8750</v>
      </c>
      <c r="D9" s="206">
        <f t="shared" si="0"/>
        <v>761250</v>
      </c>
      <c r="E9" s="597"/>
      <c r="F9" s="564"/>
      <c r="G9" s="56"/>
      <c r="H9" s="56">
        <f t="shared" si="1"/>
        <v>0</v>
      </c>
      <c r="I9" s="56">
        <f t="shared" si="2"/>
        <v>8750</v>
      </c>
      <c r="J9" s="56">
        <v>0</v>
      </c>
      <c r="K9" s="56"/>
      <c r="L9" s="8" t="s">
        <v>514</v>
      </c>
    </row>
    <row r="10" spans="1:12" ht="25" customHeight="1" x14ac:dyDescent="0.35">
      <c r="A10" s="7">
        <v>8</v>
      </c>
      <c r="B10" s="205" t="s">
        <v>461</v>
      </c>
      <c r="C10" s="56">
        <v>10000</v>
      </c>
      <c r="D10" s="206">
        <f t="shared" si="0"/>
        <v>870000</v>
      </c>
      <c r="E10" s="597"/>
      <c r="F10" s="564"/>
      <c r="G10" s="56">
        <f>19740.69+616</f>
        <v>20356.689999999999</v>
      </c>
      <c r="H10" s="56">
        <f t="shared" si="1"/>
        <v>20356.689999999999</v>
      </c>
      <c r="I10" s="56">
        <f t="shared" si="2"/>
        <v>-10356.689999999999</v>
      </c>
      <c r="J10" s="56" t="s">
        <v>660</v>
      </c>
      <c r="K10" s="56" t="s">
        <v>661</v>
      </c>
      <c r="L10" s="8" t="s">
        <v>13</v>
      </c>
    </row>
    <row r="11" spans="1:12" ht="25" customHeight="1" x14ac:dyDescent="0.35">
      <c r="A11" s="7">
        <v>9</v>
      </c>
      <c r="B11" s="205" t="s">
        <v>479</v>
      </c>
      <c r="C11" s="56">
        <v>5000</v>
      </c>
      <c r="D11" s="206">
        <f t="shared" si="0"/>
        <v>435000</v>
      </c>
      <c r="E11" s="597"/>
      <c r="F11" s="564"/>
      <c r="G11" s="56"/>
      <c r="H11" s="56">
        <f t="shared" si="1"/>
        <v>0</v>
      </c>
      <c r="I11" s="56">
        <f t="shared" si="2"/>
        <v>5000</v>
      </c>
      <c r="J11" s="56"/>
      <c r="K11" s="56"/>
      <c r="L11" s="8" t="s">
        <v>513</v>
      </c>
    </row>
    <row r="12" spans="1:12" ht="25" customHeight="1" x14ac:dyDescent="0.35">
      <c r="A12" s="7">
        <v>10</v>
      </c>
      <c r="B12" s="205" t="s">
        <v>462</v>
      </c>
      <c r="C12" s="56">
        <v>3000</v>
      </c>
      <c r="D12" s="206">
        <f t="shared" si="0"/>
        <v>261000</v>
      </c>
      <c r="E12" s="597"/>
      <c r="F12" s="564"/>
      <c r="G12" s="56"/>
      <c r="H12" s="56">
        <f t="shared" si="1"/>
        <v>0</v>
      </c>
      <c r="I12" s="56">
        <f t="shared" si="2"/>
        <v>3000</v>
      </c>
      <c r="J12" s="56"/>
      <c r="K12" s="56"/>
      <c r="L12" s="8" t="s">
        <v>13</v>
      </c>
    </row>
    <row r="13" spans="1:12" ht="25" customHeight="1" x14ac:dyDescent="0.35">
      <c r="A13" s="7">
        <v>11</v>
      </c>
      <c r="B13" s="205" t="s">
        <v>520</v>
      </c>
      <c r="C13" s="56">
        <v>850</v>
      </c>
      <c r="D13" s="206">
        <f t="shared" si="0"/>
        <v>73950</v>
      </c>
      <c r="E13" s="597"/>
      <c r="F13" s="564"/>
      <c r="G13" s="56"/>
      <c r="H13" s="56">
        <f t="shared" si="1"/>
        <v>0</v>
      </c>
      <c r="I13" s="56">
        <f t="shared" si="2"/>
        <v>850</v>
      </c>
      <c r="J13" s="56"/>
      <c r="K13" s="56"/>
      <c r="L13" s="8" t="s">
        <v>13</v>
      </c>
    </row>
    <row r="14" spans="1:12" ht="25" customHeight="1" x14ac:dyDescent="0.35">
      <c r="A14" s="7">
        <v>12</v>
      </c>
      <c r="B14" s="205" t="s">
        <v>482</v>
      </c>
      <c r="C14" s="56">
        <v>2500</v>
      </c>
      <c r="D14" s="206">
        <f t="shared" si="0"/>
        <v>217500</v>
      </c>
      <c r="E14" s="597"/>
      <c r="F14" s="564"/>
      <c r="G14" s="56"/>
      <c r="H14" s="56">
        <f t="shared" si="1"/>
        <v>0</v>
      </c>
      <c r="I14" s="56">
        <f t="shared" si="2"/>
        <v>2500</v>
      </c>
      <c r="J14" s="56"/>
      <c r="K14" s="56"/>
      <c r="L14" s="8" t="s">
        <v>13</v>
      </c>
    </row>
    <row r="15" spans="1:12" ht="25" customHeight="1" x14ac:dyDescent="0.35">
      <c r="A15" s="599">
        <v>13</v>
      </c>
      <c r="B15" s="600" t="s">
        <v>550</v>
      </c>
      <c r="C15" s="601">
        <v>10000</v>
      </c>
      <c r="D15" s="602">
        <f t="shared" si="0"/>
        <v>870000</v>
      </c>
      <c r="E15" s="603"/>
      <c r="F15" s="604"/>
      <c r="G15" s="601"/>
      <c r="H15" s="601">
        <f t="shared" si="1"/>
        <v>0</v>
      </c>
      <c r="I15" s="56">
        <f t="shared" si="2"/>
        <v>10000</v>
      </c>
      <c r="J15" s="56"/>
      <c r="K15" s="56"/>
      <c r="L15" s="47"/>
    </row>
    <row r="16" spans="1:12" ht="25" customHeight="1" x14ac:dyDescent="0.35">
      <c r="A16" s="599">
        <v>14</v>
      </c>
      <c r="B16" s="600" t="s">
        <v>554</v>
      </c>
      <c r="C16" s="601">
        <v>500000</v>
      </c>
      <c r="D16" s="602">
        <f>C16*87</f>
        <v>43500000</v>
      </c>
      <c r="E16" s="603"/>
      <c r="F16" s="604"/>
      <c r="G16" s="601">
        <v>206398.98</v>
      </c>
      <c r="H16" s="601">
        <f t="shared" si="1"/>
        <v>206398.98</v>
      </c>
      <c r="I16" s="56">
        <f t="shared" si="2"/>
        <v>293601.02</v>
      </c>
      <c r="J16" s="56" t="s">
        <v>658</v>
      </c>
      <c r="K16" s="56" t="s">
        <v>659</v>
      </c>
      <c r="L16" s="47" t="s">
        <v>553</v>
      </c>
    </row>
    <row r="17" spans="1:12" ht="25" customHeight="1" x14ac:dyDescent="0.35">
      <c r="A17" s="599">
        <v>15</v>
      </c>
      <c r="B17" s="600" t="s">
        <v>552</v>
      </c>
      <c r="C17" s="601">
        <v>25000</v>
      </c>
      <c r="D17" s="602">
        <f>C17*87</f>
        <v>2175000</v>
      </c>
      <c r="E17" s="603"/>
      <c r="F17" s="604"/>
      <c r="G17" s="601"/>
      <c r="H17" s="601">
        <f t="shared" si="1"/>
        <v>0</v>
      </c>
      <c r="I17" s="56">
        <f t="shared" si="2"/>
        <v>25000</v>
      </c>
      <c r="J17" s="56"/>
      <c r="K17" s="56"/>
      <c r="L17" s="47"/>
    </row>
    <row r="18" spans="1:12" ht="25" customHeight="1" x14ac:dyDescent="0.35">
      <c r="A18" s="599">
        <v>16</v>
      </c>
      <c r="B18" s="600" t="s">
        <v>551</v>
      </c>
      <c r="C18" s="601">
        <v>5000</v>
      </c>
      <c r="D18" s="602">
        <f>C18*87</f>
        <v>435000</v>
      </c>
      <c r="E18" s="603"/>
      <c r="F18" s="604"/>
      <c r="G18" s="601"/>
      <c r="H18" s="601">
        <f t="shared" si="1"/>
        <v>0</v>
      </c>
      <c r="I18" s="56">
        <f t="shared" si="2"/>
        <v>5000</v>
      </c>
      <c r="J18" s="56"/>
      <c r="K18" s="56"/>
      <c r="L18" s="47"/>
    </row>
    <row r="19" spans="1:12" ht="25" customHeight="1" x14ac:dyDescent="0.35">
      <c r="A19" s="599">
        <v>17</v>
      </c>
      <c r="B19" s="600" t="s">
        <v>549</v>
      </c>
      <c r="C19" s="601">
        <v>19850</v>
      </c>
      <c r="D19" s="602">
        <f>C19*87</f>
        <v>1726950</v>
      </c>
      <c r="E19" s="603"/>
      <c r="F19" s="604"/>
      <c r="G19" s="601"/>
      <c r="H19" s="601">
        <f t="shared" si="1"/>
        <v>0</v>
      </c>
      <c r="I19" s="56">
        <f t="shared" si="2"/>
        <v>19850</v>
      </c>
      <c r="J19" s="56"/>
      <c r="K19" s="56"/>
      <c r="L19" s="47"/>
    </row>
    <row r="20" spans="1:12" ht="25" customHeight="1" x14ac:dyDescent="0.35">
      <c r="A20" s="7"/>
      <c r="B20" s="204" t="s">
        <v>15</v>
      </c>
      <c r="C20" s="207">
        <f>SUM(C3:C14)</f>
        <v>257150</v>
      </c>
      <c r="D20" s="208">
        <f>C20*87</f>
        <v>22372050</v>
      </c>
      <c r="E20" s="597"/>
      <c r="F20" s="564"/>
      <c r="G20" s="56"/>
      <c r="H20" s="207">
        <f>SUM(H3:H14)</f>
        <v>64492.822100000005</v>
      </c>
      <c r="I20" s="207">
        <f>C20-H20</f>
        <v>192657.17790000001</v>
      </c>
      <c r="J20" s="56"/>
      <c r="K20" s="56"/>
      <c r="L20" s="7"/>
    </row>
    <row r="21" spans="1:12" ht="33" customHeight="1" x14ac:dyDescent="0.35"/>
    <row r="22" spans="1:12" ht="15" thickBot="1" x14ac:dyDescent="0.4"/>
    <row r="23" spans="1:12" x14ac:dyDescent="0.35">
      <c r="B23" s="710" t="s">
        <v>859</v>
      </c>
      <c r="C23" s="711"/>
      <c r="D23" s="711"/>
      <c r="E23" s="711"/>
      <c r="F23" s="711"/>
      <c r="G23" s="711"/>
      <c r="H23" s="711"/>
      <c r="I23" s="712"/>
    </row>
    <row r="24" spans="1:12" x14ac:dyDescent="0.35">
      <c r="B24" s="713"/>
      <c r="C24" s="714"/>
      <c r="D24" s="714"/>
      <c r="E24" s="714"/>
      <c r="F24" s="714"/>
      <c r="G24" s="714"/>
      <c r="H24" s="714"/>
      <c r="I24" s="715"/>
    </row>
    <row r="25" spans="1:12" x14ac:dyDescent="0.35">
      <c r="B25" s="713"/>
      <c r="C25" s="714"/>
      <c r="D25" s="714"/>
      <c r="E25" s="714"/>
      <c r="F25" s="714"/>
      <c r="G25" s="714"/>
      <c r="H25" s="714"/>
      <c r="I25" s="715"/>
    </row>
    <row r="26" spans="1:12" x14ac:dyDescent="0.35">
      <c r="B26" s="713"/>
      <c r="C26" s="714"/>
      <c r="D26" s="714"/>
      <c r="E26" s="714"/>
      <c r="F26" s="714"/>
      <c r="G26" s="714"/>
      <c r="H26" s="714"/>
      <c r="I26" s="715"/>
    </row>
    <row r="27" spans="1:12" x14ac:dyDescent="0.35">
      <c r="B27" s="713"/>
      <c r="C27" s="714"/>
      <c r="D27" s="714"/>
      <c r="E27" s="714"/>
      <c r="F27" s="714"/>
      <c r="G27" s="714"/>
      <c r="H27" s="714"/>
      <c r="I27" s="715"/>
    </row>
    <row r="28" spans="1:12" x14ac:dyDescent="0.35">
      <c r="B28" s="713"/>
      <c r="C28" s="714"/>
      <c r="D28" s="714"/>
      <c r="E28" s="714"/>
      <c r="F28" s="714"/>
      <c r="G28" s="714"/>
      <c r="H28" s="714"/>
      <c r="I28" s="715"/>
    </row>
    <row r="29" spans="1:12" x14ac:dyDescent="0.35">
      <c r="B29" s="713"/>
      <c r="C29" s="714"/>
      <c r="D29" s="714"/>
      <c r="E29" s="714"/>
      <c r="F29" s="714"/>
      <c r="G29" s="714"/>
      <c r="H29" s="714"/>
      <c r="I29" s="715"/>
    </row>
    <row r="30" spans="1:12" x14ac:dyDescent="0.35">
      <c r="B30" s="713"/>
      <c r="C30" s="714"/>
      <c r="D30" s="714"/>
      <c r="E30" s="714"/>
      <c r="F30" s="714"/>
      <c r="G30" s="714"/>
      <c r="H30" s="714"/>
      <c r="I30" s="715"/>
    </row>
    <row r="31" spans="1:12" x14ac:dyDescent="0.35">
      <c r="B31" s="713"/>
      <c r="C31" s="714"/>
      <c r="D31" s="714"/>
      <c r="E31" s="714"/>
      <c r="F31" s="714"/>
      <c r="G31" s="714"/>
      <c r="H31" s="714"/>
      <c r="I31" s="715"/>
    </row>
    <row r="32" spans="1:12" x14ac:dyDescent="0.35">
      <c r="B32" s="713"/>
      <c r="C32" s="714"/>
      <c r="D32" s="714"/>
      <c r="E32" s="714"/>
      <c r="F32" s="714"/>
      <c r="G32" s="714"/>
      <c r="H32" s="714"/>
      <c r="I32" s="715"/>
    </row>
    <row r="33" spans="2:9" x14ac:dyDescent="0.35">
      <c r="B33" s="713"/>
      <c r="C33" s="714"/>
      <c r="D33" s="714"/>
      <c r="E33" s="714"/>
      <c r="F33" s="714"/>
      <c r="G33" s="714"/>
      <c r="H33" s="714"/>
      <c r="I33" s="715"/>
    </row>
    <row r="34" spans="2:9" x14ac:dyDescent="0.35">
      <c r="B34" s="713"/>
      <c r="C34" s="714"/>
      <c r="D34" s="714"/>
      <c r="E34" s="714"/>
      <c r="F34" s="714"/>
      <c r="G34" s="714"/>
      <c r="H34" s="714"/>
      <c r="I34" s="715"/>
    </row>
    <row r="35" spans="2:9" x14ac:dyDescent="0.35">
      <c r="B35" s="713"/>
      <c r="C35" s="714"/>
      <c r="D35" s="714"/>
      <c r="E35" s="714"/>
      <c r="F35" s="714"/>
      <c r="G35" s="714"/>
      <c r="H35" s="714"/>
      <c r="I35" s="715"/>
    </row>
    <row r="36" spans="2:9" ht="15" thickBot="1" x14ac:dyDescent="0.4">
      <c r="B36" s="716"/>
      <c r="C36" s="717"/>
      <c r="D36" s="717"/>
      <c r="E36" s="717"/>
      <c r="F36" s="717"/>
      <c r="G36" s="717"/>
      <c r="H36" s="717"/>
      <c r="I36" s="718"/>
    </row>
  </sheetData>
  <mergeCells count="2">
    <mergeCell ref="A1:L1"/>
    <mergeCell ref="B23:I36"/>
  </mergeCells>
  <conditionalFormatting sqref="I3:I20">
    <cfRule type="cellIs" dxfId="1" priority="1" operator="lessThan">
      <formula>0</formula>
    </cfRule>
    <cfRule type="cellIs" dxfId="0" priority="2" operator="greaterThan">
      <formula>0</formula>
    </cfRule>
  </conditionalFormatting>
  <pageMargins left="0.7" right="0.7" top="0.75" bottom="0.75" header="0.3" footer="0.3"/>
  <pageSetup paperSize="8"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Dashboard</vt:lpstr>
      <vt:lpstr>Summary</vt:lpstr>
      <vt:lpstr>Ann I</vt:lpstr>
      <vt:lpstr>Ann II</vt:lpstr>
      <vt:lpstr>Ann III</vt:lpstr>
      <vt:lpstr>Ann IV</vt:lpstr>
      <vt:lpstr>Ann V</vt:lpstr>
      <vt:lpstr>Ann VI-Drill</vt:lpstr>
      <vt:lpstr>Ann VII-Mech</vt:lpstr>
      <vt:lpstr>Ann VIII-Elec</vt:lpstr>
      <vt:lpstr>Ann IX-Marine</vt:lpstr>
      <vt:lpstr>Ann X-Contractual Req</vt:lpstr>
      <vt:lpstr>Ann XI-Missing items Saipem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dc:creator>
  <cp:lastModifiedBy>Kamal Panga</cp:lastModifiedBy>
  <cp:lastPrinted>2026-02-11T04:53:44Z</cp:lastPrinted>
  <dcterms:created xsi:type="dcterms:W3CDTF">2025-07-14T06:51:21Z</dcterms:created>
  <dcterms:modified xsi:type="dcterms:W3CDTF">2026-04-20T11:21:08Z</dcterms:modified>
</cp:coreProperties>
</file>